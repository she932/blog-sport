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lle" sheetId="1" state="visible" r:id="rId1"/>
    <sheet name="Creneaux" sheetId="2" state="visible" r:id="rId2"/>
    <sheet name="Methodologie" sheetId="3" state="visible" r:id="rId3"/>
  </sheets>
  <definedNames>
    <definedName name="_xlnm._FilterDatabase" localSheetId="0" hidden="1">'Grille'!$A$2:$Z$2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€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E1B33"/>
      <sz val="10"/>
    </font>
    <font>
      <name val="Arial"/>
      <i val="1"/>
      <color rgb="005B6B85"/>
      <sz val="10"/>
    </font>
    <font>
      <name val="Arial"/>
      <b val="1"/>
      <color rgb="00FFFFFF"/>
      <sz val="14"/>
    </font>
    <font>
      <name val="Arial"/>
      <color rgb="000000FF"/>
      <sz val="10"/>
    </font>
    <font>
      <name val="Arial"/>
      <b val="1"/>
      <color rgb="000E1B33"/>
      <sz val="11"/>
    </font>
    <font>
      <name val="Arial"/>
      <i val="1"/>
      <color rgb="00B9821A"/>
      <sz val="10"/>
    </font>
    <font>
      <name val="Arial"/>
      <b val="1"/>
      <color rgb="000E1B33"/>
      <sz val="13"/>
    </font>
    <font>
      <name val="Arial"/>
      <color rgb="005B6B85"/>
      <sz val="9"/>
    </font>
    <font>
      <name val="Arial"/>
      <b val="1"/>
      <color rgb="000E1B33"/>
      <sz val="10"/>
    </font>
    <font>
      <name val="Arial"/>
      <b val="1"/>
      <color rgb="00E2620F"/>
      <sz val="10"/>
    </font>
    <font>
      <name val="Arial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0E1B33"/>
      </patternFill>
    </fill>
    <fill>
      <patternFill patternType="solid">
        <fgColor rgb="00FFF3E2"/>
      </patternFill>
    </fill>
    <fill>
      <patternFill patternType="solid">
        <fgColor rgb="00E2620F"/>
      </patternFill>
    </fill>
    <fill>
      <patternFill patternType="solid">
        <fgColor rgb="00FF7A2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3" customWidth="1" min="4" max="4"/>
    <col width="12" customWidth="1" min="5" max="5"/>
    <col width="14" customWidth="1" min="6" max="6"/>
    <col width="10" customWidth="1" min="7" max="7"/>
    <col width="11" customWidth="1" min="8" max="8"/>
    <col width="15" customWidth="1" min="9" max="9"/>
    <col width="22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2" customWidth="1" min="24" max="24"/>
    <col width="18" customWidth="1" min="25" max="25"/>
    <col width="26" customWidth="1" min="26" max="26"/>
  </cols>
  <sheetData>
    <row r="1" ht="26" customHeight="1">
      <c r="A1" s="1" t="inlineStr">
        <is>
          <t>MuscuGuide — Grille de sélection produits Amazon</t>
        </is>
      </c>
    </row>
    <row r="2" ht="40" customHeight="1">
      <c r="A2" s="2" t="inlineStr">
        <is>
          <t>Créneau (id)</t>
        </is>
      </c>
      <c r="B2" s="2" t="inlineStr">
        <is>
          <t>Produit candidat</t>
        </is>
      </c>
      <c r="C2" s="2" t="inlineStr">
        <is>
          <t>Marque</t>
        </is>
      </c>
      <c r="D2" s="2" t="inlineStr">
        <is>
          <t>ASIN</t>
        </is>
      </c>
      <c r="E2" s="2" t="inlineStr">
        <is>
          <t>Prix moyen (€)</t>
        </is>
      </c>
      <c r="F2" s="2" t="inlineStr">
        <is>
          <t>Public cible</t>
        </is>
      </c>
      <c r="G2" s="2" t="inlineStr">
        <is>
          <t>Nb avis</t>
        </is>
      </c>
      <c r="H2" s="2" t="inlineStr">
        <is>
          <t>Note moy. /5</t>
        </is>
      </c>
      <c r="I2" s="2" t="inlineStr">
        <is>
          <t>Disponibilité</t>
        </is>
      </c>
      <c r="J2" s="2" t="inlineStr">
        <is>
          <t>Produits concurrents</t>
        </is>
      </c>
      <c r="K2" s="2" t="inlineStr">
        <is>
          <t>Qualité fab. (0-5)</t>
        </is>
      </c>
      <c r="L2" s="2" t="inlineStr">
        <is>
          <t>Réputation marque (0-5)</t>
        </is>
      </c>
      <c r="M2" s="2" t="inlineStr">
        <is>
          <t>Rapport qualité/prix (0-5)</t>
        </is>
      </c>
      <c r="N2" s="2" t="inlineStr">
        <is>
          <t>Historique stabilité (0-5)</t>
        </is>
      </c>
      <c r="O2" s="2" t="inlineStr">
        <is>
          <t>Potentiel conversion (0-5)</t>
        </is>
      </c>
      <c r="P2" s="3" t="inlineStr">
        <is>
          <t>Pts Qualité /15</t>
        </is>
      </c>
      <c r="Q2" s="3" t="inlineStr">
        <is>
          <t>Pts Note /15</t>
        </is>
      </c>
      <c r="R2" s="3" t="inlineStr">
        <is>
          <t>Pts Avis /12</t>
        </is>
      </c>
      <c r="S2" s="3" t="inlineStr">
        <is>
          <t>Pts Marque /10</t>
        </is>
      </c>
      <c r="T2" s="3" t="inlineStr">
        <is>
          <t>Pts Q/P /15</t>
        </is>
      </c>
      <c r="U2" s="3" t="inlineStr">
        <is>
          <t>Pts Dispo /8</t>
        </is>
      </c>
      <c r="V2" s="3" t="inlineStr">
        <is>
          <t>Pts Stabilité /8</t>
        </is>
      </c>
      <c r="W2" s="3" t="inlineStr">
        <is>
          <t>Pts Conversion /17</t>
        </is>
      </c>
      <c r="X2" s="3" t="inlineStr">
        <is>
          <t>SCORE /100</t>
        </is>
      </c>
      <c r="Y2" s="3" t="inlineStr">
        <is>
          <t>Décision</t>
        </is>
      </c>
      <c r="Z2" s="2" t="inlineStr">
        <is>
          <t>Notes</t>
        </is>
      </c>
    </row>
    <row r="3">
      <c r="A3" s="4" t="inlineStr">
        <is>
          <t>halteres-reglables</t>
        </is>
      </c>
      <c r="B3" s="5" t="inlineStr">
        <is>
          <t>Exemple : haltères modèle X (à supprimer)</t>
        </is>
      </c>
      <c r="C3" s="4" t="inlineStr">
        <is>
          <t>MarqueDémo</t>
        </is>
      </c>
      <c r="D3" s="4" t="inlineStr"/>
      <c r="E3" s="6" t="n">
        <v>150</v>
      </c>
      <c r="F3" s="7" t="inlineStr">
        <is>
          <t>Intermédiaire</t>
        </is>
      </c>
      <c r="G3" s="8" t="n">
        <v>2413</v>
      </c>
      <c r="H3" s="9" t="n">
        <v>4.6</v>
      </c>
      <c r="I3" s="7" t="inlineStr">
        <is>
          <t>En stock</t>
        </is>
      </c>
      <c r="J3" s="4" t="inlineStr">
        <is>
          <t>réf A, réf B</t>
        </is>
      </c>
      <c r="K3" s="7" t="n">
        <v>4</v>
      </c>
      <c r="L3" s="7" t="n">
        <v>4</v>
      </c>
      <c r="M3" s="7" t="n">
        <v>5</v>
      </c>
      <c r="N3" s="7" t="n">
        <v>4</v>
      </c>
      <c r="O3" s="7" t="n">
        <v>4</v>
      </c>
      <c r="P3" s="10">
        <f>IF(K3="","",K3/5*15)</f>
        <v/>
      </c>
      <c r="Q3" s="10">
        <f>IF(H3="","",H3/5*15)</f>
        <v/>
      </c>
      <c r="R3" s="10">
        <f>IF(G3="","",IF(G3&gt;=5000,5,IF(G3&gt;=2000,4,IF(G3&gt;=1000,3,IF(G3&gt;=300,2,IF(G3&gt;=50,1,0)))))/5*12)</f>
        <v/>
      </c>
      <c r="S3" s="10">
        <f>IF(L3="","",L3/5*10)</f>
        <v/>
      </c>
      <c r="T3" s="10">
        <f>IF(M3="","",M3/5*15)</f>
        <v/>
      </c>
      <c r="U3" s="10">
        <f>IF(I3="","",IF(I3="En stock",5,IF(I3="Variable",3,0))/5*8)</f>
        <v/>
      </c>
      <c r="V3" s="10">
        <f>IF(N3="","",N3/5*8)</f>
        <v/>
      </c>
      <c r="W3" s="10">
        <f>IF(O3="","",O3/5*17)</f>
        <v/>
      </c>
      <c r="X3" s="11">
        <f>IF(B3="","",SUM(P3:W3))</f>
        <v/>
      </c>
      <c r="Y3" s="10">
        <f>IF(X3="","",IF(X3&gt;=80,"✅ Retenu (top)",IF(X3&gt;=65,"👍 Bon candidat",IF(X3&gt;=50,"⚠️ À challenger","❌ Écarter"))))</f>
        <v/>
      </c>
      <c r="Z3" s="12" t="inlineStr">
        <is>
          <t>Ligne d'exemple — remplace ou supprime.</t>
        </is>
      </c>
    </row>
    <row r="4">
      <c r="A4" s="4" t="n"/>
      <c r="B4" s="4" t="n"/>
      <c r="C4" s="4" t="n"/>
      <c r="D4" s="4" t="n"/>
      <c r="E4" s="6" t="n"/>
      <c r="F4" s="7" t="n"/>
      <c r="G4" s="8" t="n"/>
      <c r="H4" s="9" t="n"/>
      <c r="I4" s="7" t="n"/>
      <c r="J4" s="4" t="n"/>
      <c r="K4" s="7" t="n"/>
      <c r="L4" s="7" t="n"/>
      <c r="M4" s="7" t="n"/>
      <c r="N4" s="7" t="n"/>
      <c r="O4" s="7" t="n"/>
      <c r="P4" s="10">
        <f>IF(K4="","",K4/5*15)</f>
        <v/>
      </c>
      <c r="Q4" s="10">
        <f>IF(H4="","",H4/5*15)</f>
        <v/>
      </c>
      <c r="R4" s="10">
        <f>IF(G4="","",IF(G4&gt;=5000,5,IF(G4&gt;=2000,4,IF(G4&gt;=1000,3,IF(G4&gt;=300,2,IF(G4&gt;=50,1,0)))))/5*12)</f>
        <v/>
      </c>
      <c r="S4" s="10">
        <f>IF(L4="","",L4/5*10)</f>
        <v/>
      </c>
      <c r="T4" s="10">
        <f>IF(M4="","",M4/5*15)</f>
        <v/>
      </c>
      <c r="U4" s="10">
        <f>IF(I4="","",IF(I4="En stock",5,IF(I4="Variable",3,0))/5*8)</f>
        <v/>
      </c>
      <c r="V4" s="10">
        <f>IF(N4="","",N4/5*8)</f>
        <v/>
      </c>
      <c r="W4" s="10">
        <f>IF(O4="","",O4/5*17)</f>
        <v/>
      </c>
      <c r="X4" s="11">
        <f>IF(B4="","",SUM(P4:W4))</f>
        <v/>
      </c>
      <c r="Y4" s="10">
        <f>IF(X4="","",IF(X4&gt;=80,"✅ Retenu (top)",IF(X4&gt;=65,"👍 Bon candidat",IF(X4&gt;=50,"⚠️ À challenger","❌ Écarter"))))</f>
        <v/>
      </c>
      <c r="Z4" s="12" t="n"/>
    </row>
    <row r="5">
      <c r="A5" s="4" t="n"/>
      <c r="B5" s="4" t="n"/>
      <c r="C5" s="4" t="n"/>
      <c r="D5" s="4" t="n"/>
      <c r="E5" s="6" t="n"/>
      <c r="F5" s="7" t="n"/>
      <c r="G5" s="8" t="n"/>
      <c r="H5" s="9" t="n"/>
      <c r="I5" s="7" t="n"/>
      <c r="J5" s="4" t="n"/>
      <c r="K5" s="7" t="n"/>
      <c r="L5" s="7" t="n"/>
      <c r="M5" s="7" t="n"/>
      <c r="N5" s="7" t="n"/>
      <c r="O5" s="7" t="n"/>
      <c r="P5" s="10">
        <f>IF(K5="","",K5/5*15)</f>
        <v/>
      </c>
      <c r="Q5" s="10">
        <f>IF(H5="","",H5/5*15)</f>
        <v/>
      </c>
      <c r="R5" s="10">
        <f>IF(G5="","",IF(G5&gt;=5000,5,IF(G5&gt;=2000,4,IF(G5&gt;=1000,3,IF(G5&gt;=300,2,IF(G5&gt;=50,1,0)))))/5*12)</f>
        <v/>
      </c>
      <c r="S5" s="10">
        <f>IF(L5="","",L5/5*10)</f>
        <v/>
      </c>
      <c r="T5" s="10">
        <f>IF(M5="","",M5/5*15)</f>
        <v/>
      </c>
      <c r="U5" s="10">
        <f>IF(I5="","",IF(I5="En stock",5,IF(I5="Variable",3,0))/5*8)</f>
        <v/>
      </c>
      <c r="V5" s="10">
        <f>IF(N5="","",N5/5*8)</f>
        <v/>
      </c>
      <c r="W5" s="10">
        <f>IF(O5="","",O5/5*17)</f>
        <v/>
      </c>
      <c r="X5" s="11">
        <f>IF(B5="","",SUM(P5:W5))</f>
        <v/>
      </c>
      <c r="Y5" s="10">
        <f>IF(X5="","",IF(X5&gt;=80,"✅ Retenu (top)",IF(X5&gt;=65,"👍 Bon candidat",IF(X5&gt;=50,"⚠️ À challenger","❌ Écarter"))))</f>
        <v/>
      </c>
      <c r="Z5" s="12" t="n"/>
    </row>
    <row r="6">
      <c r="A6" s="4" t="n"/>
      <c r="B6" s="4" t="n"/>
      <c r="C6" s="4" t="n"/>
      <c r="D6" s="4" t="n"/>
      <c r="E6" s="6" t="n"/>
      <c r="F6" s="7" t="n"/>
      <c r="G6" s="8" t="n"/>
      <c r="H6" s="9" t="n"/>
      <c r="I6" s="7" t="n"/>
      <c r="J6" s="4" t="n"/>
      <c r="K6" s="7" t="n"/>
      <c r="L6" s="7" t="n"/>
      <c r="M6" s="7" t="n"/>
      <c r="N6" s="7" t="n"/>
      <c r="O6" s="7" t="n"/>
      <c r="P6" s="10">
        <f>IF(K6="","",K6/5*15)</f>
        <v/>
      </c>
      <c r="Q6" s="10">
        <f>IF(H6="","",H6/5*15)</f>
        <v/>
      </c>
      <c r="R6" s="10">
        <f>IF(G6="","",IF(G6&gt;=5000,5,IF(G6&gt;=2000,4,IF(G6&gt;=1000,3,IF(G6&gt;=300,2,IF(G6&gt;=50,1,0)))))/5*12)</f>
        <v/>
      </c>
      <c r="S6" s="10">
        <f>IF(L6="","",L6/5*10)</f>
        <v/>
      </c>
      <c r="T6" s="10">
        <f>IF(M6="","",M6/5*15)</f>
        <v/>
      </c>
      <c r="U6" s="10">
        <f>IF(I6="","",IF(I6="En stock",5,IF(I6="Variable",3,0))/5*8)</f>
        <v/>
      </c>
      <c r="V6" s="10">
        <f>IF(N6="","",N6/5*8)</f>
        <v/>
      </c>
      <c r="W6" s="10">
        <f>IF(O6="","",O6/5*17)</f>
        <v/>
      </c>
      <c r="X6" s="11">
        <f>IF(B6="","",SUM(P6:W6))</f>
        <v/>
      </c>
      <c r="Y6" s="10">
        <f>IF(X6="","",IF(X6&gt;=80,"✅ Retenu (top)",IF(X6&gt;=65,"👍 Bon candidat",IF(X6&gt;=50,"⚠️ À challenger","❌ Écarter"))))</f>
        <v/>
      </c>
      <c r="Z6" s="12" t="n"/>
    </row>
    <row r="7">
      <c r="A7" s="4" t="n"/>
      <c r="B7" s="4" t="n"/>
      <c r="C7" s="4" t="n"/>
      <c r="D7" s="4" t="n"/>
      <c r="E7" s="6" t="n"/>
      <c r="F7" s="7" t="n"/>
      <c r="G7" s="8" t="n"/>
      <c r="H7" s="9" t="n"/>
      <c r="I7" s="7" t="n"/>
      <c r="J7" s="4" t="n"/>
      <c r="K7" s="7" t="n"/>
      <c r="L7" s="7" t="n"/>
      <c r="M7" s="7" t="n"/>
      <c r="N7" s="7" t="n"/>
      <c r="O7" s="7" t="n"/>
      <c r="P7" s="10">
        <f>IF(K7="","",K7/5*15)</f>
        <v/>
      </c>
      <c r="Q7" s="10">
        <f>IF(H7="","",H7/5*15)</f>
        <v/>
      </c>
      <c r="R7" s="10">
        <f>IF(G7="","",IF(G7&gt;=5000,5,IF(G7&gt;=2000,4,IF(G7&gt;=1000,3,IF(G7&gt;=300,2,IF(G7&gt;=50,1,0)))))/5*12)</f>
        <v/>
      </c>
      <c r="S7" s="10">
        <f>IF(L7="","",L7/5*10)</f>
        <v/>
      </c>
      <c r="T7" s="10">
        <f>IF(M7="","",M7/5*15)</f>
        <v/>
      </c>
      <c r="U7" s="10">
        <f>IF(I7="","",IF(I7="En stock",5,IF(I7="Variable",3,0))/5*8)</f>
        <v/>
      </c>
      <c r="V7" s="10">
        <f>IF(N7="","",N7/5*8)</f>
        <v/>
      </c>
      <c r="W7" s="10">
        <f>IF(O7="","",O7/5*17)</f>
        <v/>
      </c>
      <c r="X7" s="11">
        <f>IF(B7="","",SUM(P7:W7))</f>
        <v/>
      </c>
      <c r="Y7" s="10">
        <f>IF(X7="","",IF(X7&gt;=80,"✅ Retenu (top)",IF(X7&gt;=65,"👍 Bon candidat",IF(X7&gt;=50,"⚠️ À challenger","❌ Écarter"))))</f>
        <v/>
      </c>
      <c r="Z7" s="12" t="n"/>
    </row>
    <row r="8">
      <c r="A8" s="4" t="n"/>
      <c r="B8" s="4" t="n"/>
      <c r="C8" s="4" t="n"/>
      <c r="D8" s="4" t="n"/>
      <c r="E8" s="6" t="n"/>
      <c r="F8" s="7" t="n"/>
      <c r="G8" s="8" t="n"/>
      <c r="H8" s="9" t="n"/>
      <c r="I8" s="7" t="n"/>
      <c r="J8" s="4" t="n"/>
      <c r="K8" s="7" t="n"/>
      <c r="L8" s="7" t="n"/>
      <c r="M8" s="7" t="n"/>
      <c r="N8" s="7" t="n"/>
      <c r="O8" s="7" t="n"/>
      <c r="P8" s="10">
        <f>IF(K8="","",K8/5*15)</f>
        <v/>
      </c>
      <c r="Q8" s="10">
        <f>IF(H8="","",H8/5*15)</f>
        <v/>
      </c>
      <c r="R8" s="10">
        <f>IF(G8="","",IF(G8&gt;=5000,5,IF(G8&gt;=2000,4,IF(G8&gt;=1000,3,IF(G8&gt;=300,2,IF(G8&gt;=50,1,0)))))/5*12)</f>
        <v/>
      </c>
      <c r="S8" s="10">
        <f>IF(L8="","",L8/5*10)</f>
        <v/>
      </c>
      <c r="T8" s="10">
        <f>IF(M8="","",M8/5*15)</f>
        <v/>
      </c>
      <c r="U8" s="10">
        <f>IF(I8="","",IF(I8="En stock",5,IF(I8="Variable",3,0))/5*8)</f>
        <v/>
      </c>
      <c r="V8" s="10">
        <f>IF(N8="","",N8/5*8)</f>
        <v/>
      </c>
      <c r="W8" s="10">
        <f>IF(O8="","",O8/5*17)</f>
        <v/>
      </c>
      <c r="X8" s="11">
        <f>IF(B8="","",SUM(P8:W8))</f>
        <v/>
      </c>
      <c r="Y8" s="10">
        <f>IF(X8="","",IF(X8&gt;=80,"✅ Retenu (top)",IF(X8&gt;=65,"👍 Bon candidat",IF(X8&gt;=50,"⚠️ À challenger","❌ Écarter"))))</f>
        <v/>
      </c>
      <c r="Z8" s="12" t="n"/>
    </row>
    <row r="9">
      <c r="A9" s="4" t="n"/>
      <c r="B9" s="4" t="n"/>
      <c r="C9" s="4" t="n"/>
      <c r="D9" s="4" t="n"/>
      <c r="E9" s="6" t="n"/>
      <c r="F9" s="7" t="n"/>
      <c r="G9" s="8" t="n"/>
      <c r="H9" s="9" t="n"/>
      <c r="I9" s="7" t="n"/>
      <c r="J9" s="4" t="n"/>
      <c r="K9" s="7" t="n"/>
      <c r="L9" s="7" t="n"/>
      <c r="M9" s="7" t="n"/>
      <c r="N9" s="7" t="n"/>
      <c r="O9" s="7" t="n"/>
      <c r="P9" s="10">
        <f>IF(K9="","",K9/5*15)</f>
        <v/>
      </c>
      <c r="Q9" s="10">
        <f>IF(H9="","",H9/5*15)</f>
        <v/>
      </c>
      <c r="R9" s="10">
        <f>IF(G9="","",IF(G9&gt;=5000,5,IF(G9&gt;=2000,4,IF(G9&gt;=1000,3,IF(G9&gt;=300,2,IF(G9&gt;=50,1,0)))))/5*12)</f>
        <v/>
      </c>
      <c r="S9" s="10">
        <f>IF(L9="","",L9/5*10)</f>
        <v/>
      </c>
      <c r="T9" s="10">
        <f>IF(M9="","",M9/5*15)</f>
        <v/>
      </c>
      <c r="U9" s="10">
        <f>IF(I9="","",IF(I9="En stock",5,IF(I9="Variable",3,0))/5*8)</f>
        <v/>
      </c>
      <c r="V9" s="10">
        <f>IF(N9="","",N9/5*8)</f>
        <v/>
      </c>
      <c r="W9" s="10">
        <f>IF(O9="","",O9/5*17)</f>
        <v/>
      </c>
      <c r="X9" s="11">
        <f>IF(B9="","",SUM(P9:W9))</f>
        <v/>
      </c>
      <c r="Y9" s="10">
        <f>IF(X9="","",IF(X9&gt;=80,"✅ Retenu (top)",IF(X9&gt;=65,"👍 Bon candidat",IF(X9&gt;=50,"⚠️ À challenger","❌ Écarter"))))</f>
        <v/>
      </c>
      <c r="Z9" s="12" t="n"/>
    </row>
    <row r="10">
      <c r="A10" s="4" t="n"/>
      <c r="B10" s="4" t="n"/>
      <c r="C10" s="4" t="n"/>
      <c r="D10" s="4" t="n"/>
      <c r="E10" s="6" t="n"/>
      <c r="F10" s="7" t="n"/>
      <c r="G10" s="8" t="n"/>
      <c r="H10" s="9" t="n"/>
      <c r="I10" s="7" t="n"/>
      <c r="J10" s="4" t="n"/>
      <c r="K10" s="7" t="n"/>
      <c r="L10" s="7" t="n"/>
      <c r="M10" s="7" t="n"/>
      <c r="N10" s="7" t="n"/>
      <c r="O10" s="7" t="n"/>
      <c r="P10" s="10">
        <f>IF(K10="","",K10/5*15)</f>
        <v/>
      </c>
      <c r="Q10" s="10">
        <f>IF(H10="","",H10/5*15)</f>
        <v/>
      </c>
      <c r="R10" s="10">
        <f>IF(G10="","",IF(G10&gt;=5000,5,IF(G10&gt;=2000,4,IF(G10&gt;=1000,3,IF(G10&gt;=300,2,IF(G10&gt;=50,1,0)))))/5*12)</f>
        <v/>
      </c>
      <c r="S10" s="10">
        <f>IF(L10="","",L10/5*10)</f>
        <v/>
      </c>
      <c r="T10" s="10">
        <f>IF(M10="","",M10/5*15)</f>
        <v/>
      </c>
      <c r="U10" s="10">
        <f>IF(I10="","",IF(I10="En stock",5,IF(I10="Variable",3,0))/5*8)</f>
        <v/>
      </c>
      <c r="V10" s="10">
        <f>IF(N10="","",N10/5*8)</f>
        <v/>
      </c>
      <c r="W10" s="10">
        <f>IF(O10="","",O10/5*17)</f>
        <v/>
      </c>
      <c r="X10" s="11">
        <f>IF(B10="","",SUM(P10:W10))</f>
        <v/>
      </c>
      <c r="Y10" s="10">
        <f>IF(X10="","",IF(X10&gt;=80,"✅ Retenu (top)",IF(X10&gt;=65,"👍 Bon candidat",IF(X10&gt;=50,"⚠️ À challenger","❌ Écarter"))))</f>
        <v/>
      </c>
      <c r="Z10" s="12" t="n"/>
    </row>
    <row r="11">
      <c r="A11" s="4" t="n"/>
      <c r="B11" s="4" t="n"/>
      <c r="C11" s="4" t="n"/>
      <c r="D11" s="4" t="n"/>
      <c r="E11" s="6" t="n"/>
      <c r="F11" s="7" t="n"/>
      <c r="G11" s="8" t="n"/>
      <c r="H11" s="9" t="n"/>
      <c r="I11" s="7" t="n"/>
      <c r="J11" s="4" t="n"/>
      <c r="K11" s="7" t="n"/>
      <c r="L11" s="7" t="n"/>
      <c r="M11" s="7" t="n"/>
      <c r="N11" s="7" t="n"/>
      <c r="O11" s="7" t="n"/>
      <c r="P11" s="10">
        <f>IF(K11="","",K11/5*15)</f>
        <v/>
      </c>
      <c r="Q11" s="10">
        <f>IF(H11="","",H11/5*15)</f>
        <v/>
      </c>
      <c r="R11" s="10">
        <f>IF(G11="","",IF(G11&gt;=5000,5,IF(G11&gt;=2000,4,IF(G11&gt;=1000,3,IF(G11&gt;=300,2,IF(G11&gt;=50,1,0)))))/5*12)</f>
        <v/>
      </c>
      <c r="S11" s="10">
        <f>IF(L11="","",L11/5*10)</f>
        <v/>
      </c>
      <c r="T11" s="10">
        <f>IF(M11="","",M11/5*15)</f>
        <v/>
      </c>
      <c r="U11" s="10">
        <f>IF(I11="","",IF(I11="En stock",5,IF(I11="Variable",3,0))/5*8)</f>
        <v/>
      </c>
      <c r="V11" s="10">
        <f>IF(N11="","",N11/5*8)</f>
        <v/>
      </c>
      <c r="W11" s="10">
        <f>IF(O11="","",O11/5*17)</f>
        <v/>
      </c>
      <c r="X11" s="11">
        <f>IF(B11="","",SUM(P11:W11))</f>
        <v/>
      </c>
      <c r="Y11" s="10">
        <f>IF(X11="","",IF(X11&gt;=80,"✅ Retenu (top)",IF(X11&gt;=65,"👍 Bon candidat",IF(X11&gt;=50,"⚠️ À challenger","❌ Écarter"))))</f>
        <v/>
      </c>
      <c r="Z11" s="12" t="n"/>
    </row>
    <row r="12">
      <c r="A12" s="4" t="n"/>
      <c r="B12" s="4" t="n"/>
      <c r="C12" s="4" t="n"/>
      <c r="D12" s="4" t="n"/>
      <c r="E12" s="6" t="n"/>
      <c r="F12" s="7" t="n"/>
      <c r="G12" s="8" t="n"/>
      <c r="H12" s="9" t="n"/>
      <c r="I12" s="7" t="n"/>
      <c r="J12" s="4" t="n"/>
      <c r="K12" s="7" t="n"/>
      <c r="L12" s="7" t="n"/>
      <c r="M12" s="7" t="n"/>
      <c r="N12" s="7" t="n"/>
      <c r="O12" s="7" t="n"/>
      <c r="P12" s="10">
        <f>IF(K12="","",K12/5*15)</f>
        <v/>
      </c>
      <c r="Q12" s="10">
        <f>IF(H12="","",H12/5*15)</f>
        <v/>
      </c>
      <c r="R12" s="10">
        <f>IF(G12="","",IF(G12&gt;=5000,5,IF(G12&gt;=2000,4,IF(G12&gt;=1000,3,IF(G12&gt;=300,2,IF(G12&gt;=50,1,0)))))/5*12)</f>
        <v/>
      </c>
      <c r="S12" s="10">
        <f>IF(L12="","",L12/5*10)</f>
        <v/>
      </c>
      <c r="T12" s="10">
        <f>IF(M12="","",M12/5*15)</f>
        <v/>
      </c>
      <c r="U12" s="10">
        <f>IF(I12="","",IF(I12="En stock",5,IF(I12="Variable",3,0))/5*8)</f>
        <v/>
      </c>
      <c r="V12" s="10">
        <f>IF(N12="","",N12/5*8)</f>
        <v/>
      </c>
      <c r="W12" s="10">
        <f>IF(O12="","",O12/5*17)</f>
        <v/>
      </c>
      <c r="X12" s="11">
        <f>IF(B12="","",SUM(P12:W12))</f>
        <v/>
      </c>
      <c r="Y12" s="10">
        <f>IF(X12="","",IF(X12&gt;=80,"✅ Retenu (top)",IF(X12&gt;=65,"👍 Bon candidat",IF(X12&gt;=50,"⚠️ À challenger","❌ Écarter"))))</f>
        <v/>
      </c>
      <c r="Z12" s="12" t="n"/>
    </row>
    <row r="13">
      <c r="A13" s="4" t="n"/>
      <c r="B13" s="4" t="n"/>
      <c r="C13" s="4" t="n"/>
      <c r="D13" s="4" t="n"/>
      <c r="E13" s="6" t="n"/>
      <c r="F13" s="7" t="n"/>
      <c r="G13" s="8" t="n"/>
      <c r="H13" s="9" t="n"/>
      <c r="I13" s="7" t="n"/>
      <c r="J13" s="4" t="n"/>
      <c r="K13" s="7" t="n"/>
      <c r="L13" s="7" t="n"/>
      <c r="M13" s="7" t="n"/>
      <c r="N13" s="7" t="n"/>
      <c r="O13" s="7" t="n"/>
      <c r="P13" s="10">
        <f>IF(K13="","",K13/5*15)</f>
        <v/>
      </c>
      <c r="Q13" s="10">
        <f>IF(H13="","",H13/5*15)</f>
        <v/>
      </c>
      <c r="R13" s="10">
        <f>IF(G13="","",IF(G13&gt;=5000,5,IF(G13&gt;=2000,4,IF(G13&gt;=1000,3,IF(G13&gt;=300,2,IF(G13&gt;=50,1,0)))))/5*12)</f>
        <v/>
      </c>
      <c r="S13" s="10">
        <f>IF(L13="","",L13/5*10)</f>
        <v/>
      </c>
      <c r="T13" s="10">
        <f>IF(M13="","",M13/5*15)</f>
        <v/>
      </c>
      <c r="U13" s="10">
        <f>IF(I13="","",IF(I13="En stock",5,IF(I13="Variable",3,0))/5*8)</f>
        <v/>
      </c>
      <c r="V13" s="10">
        <f>IF(N13="","",N13/5*8)</f>
        <v/>
      </c>
      <c r="W13" s="10">
        <f>IF(O13="","",O13/5*17)</f>
        <v/>
      </c>
      <c r="X13" s="11">
        <f>IF(B13="","",SUM(P13:W13))</f>
        <v/>
      </c>
      <c r="Y13" s="10">
        <f>IF(X13="","",IF(X13&gt;=80,"✅ Retenu (top)",IF(X13&gt;=65,"👍 Bon candidat",IF(X13&gt;=50,"⚠️ À challenger","❌ Écarter"))))</f>
        <v/>
      </c>
      <c r="Z13" s="12" t="n"/>
    </row>
    <row r="14">
      <c r="A14" s="4" t="n"/>
      <c r="B14" s="4" t="n"/>
      <c r="C14" s="4" t="n"/>
      <c r="D14" s="4" t="n"/>
      <c r="E14" s="6" t="n"/>
      <c r="F14" s="7" t="n"/>
      <c r="G14" s="8" t="n"/>
      <c r="H14" s="9" t="n"/>
      <c r="I14" s="7" t="n"/>
      <c r="J14" s="4" t="n"/>
      <c r="K14" s="7" t="n"/>
      <c r="L14" s="7" t="n"/>
      <c r="M14" s="7" t="n"/>
      <c r="N14" s="7" t="n"/>
      <c r="O14" s="7" t="n"/>
      <c r="P14" s="10">
        <f>IF(K14="","",K14/5*15)</f>
        <v/>
      </c>
      <c r="Q14" s="10">
        <f>IF(H14="","",H14/5*15)</f>
        <v/>
      </c>
      <c r="R14" s="10">
        <f>IF(G14="","",IF(G14&gt;=5000,5,IF(G14&gt;=2000,4,IF(G14&gt;=1000,3,IF(G14&gt;=300,2,IF(G14&gt;=50,1,0)))))/5*12)</f>
        <v/>
      </c>
      <c r="S14" s="10">
        <f>IF(L14="","",L14/5*10)</f>
        <v/>
      </c>
      <c r="T14" s="10">
        <f>IF(M14="","",M14/5*15)</f>
        <v/>
      </c>
      <c r="U14" s="10">
        <f>IF(I14="","",IF(I14="En stock",5,IF(I14="Variable",3,0))/5*8)</f>
        <v/>
      </c>
      <c r="V14" s="10">
        <f>IF(N14="","",N14/5*8)</f>
        <v/>
      </c>
      <c r="W14" s="10">
        <f>IF(O14="","",O14/5*17)</f>
        <v/>
      </c>
      <c r="X14" s="11">
        <f>IF(B14="","",SUM(P14:W14))</f>
        <v/>
      </c>
      <c r="Y14" s="10">
        <f>IF(X14="","",IF(X14&gt;=80,"✅ Retenu (top)",IF(X14&gt;=65,"👍 Bon candidat",IF(X14&gt;=50,"⚠️ À challenger","❌ Écarter"))))</f>
        <v/>
      </c>
      <c r="Z14" s="12" t="n"/>
    </row>
    <row r="15">
      <c r="A15" s="4" t="n"/>
      <c r="B15" s="4" t="n"/>
      <c r="C15" s="4" t="n"/>
      <c r="D15" s="4" t="n"/>
      <c r="E15" s="6" t="n"/>
      <c r="F15" s="7" t="n"/>
      <c r="G15" s="8" t="n"/>
      <c r="H15" s="9" t="n"/>
      <c r="I15" s="7" t="n"/>
      <c r="J15" s="4" t="n"/>
      <c r="K15" s="7" t="n"/>
      <c r="L15" s="7" t="n"/>
      <c r="M15" s="7" t="n"/>
      <c r="N15" s="7" t="n"/>
      <c r="O15" s="7" t="n"/>
      <c r="P15" s="10">
        <f>IF(K15="","",K15/5*15)</f>
        <v/>
      </c>
      <c r="Q15" s="10">
        <f>IF(H15="","",H15/5*15)</f>
        <v/>
      </c>
      <c r="R15" s="10">
        <f>IF(G15="","",IF(G15&gt;=5000,5,IF(G15&gt;=2000,4,IF(G15&gt;=1000,3,IF(G15&gt;=300,2,IF(G15&gt;=50,1,0)))))/5*12)</f>
        <v/>
      </c>
      <c r="S15" s="10">
        <f>IF(L15="","",L15/5*10)</f>
        <v/>
      </c>
      <c r="T15" s="10">
        <f>IF(M15="","",M15/5*15)</f>
        <v/>
      </c>
      <c r="U15" s="10">
        <f>IF(I15="","",IF(I15="En stock",5,IF(I15="Variable",3,0))/5*8)</f>
        <v/>
      </c>
      <c r="V15" s="10">
        <f>IF(N15="","",N15/5*8)</f>
        <v/>
      </c>
      <c r="W15" s="10">
        <f>IF(O15="","",O15/5*17)</f>
        <v/>
      </c>
      <c r="X15" s="11">
        <f>IF(B15="","",SUM(P15:W15))</f>
        <v/>
      </c>
      <c r="Y15" s="10">
        <f>IF(X15="","",IF(X15&gt;=80,"✅ Retenu (top)",IF(X15&gt;=65,"👍 Bon candidat",IF(X15&gt;=50,"⚠️ À challenger","❌ Écarter"))))</f>
        <v/>
      </c>
      <c r="Z15" s="12" t="n"/>
    </row>
    <row r="16">
      <c r="A16" s="4" t="n"/>
      <c r="B16" s="4" t="n"/>
      <c r="C16" s="4" t="n"/>
      <c r="D16" s="4" t="n"/>
      <c r="E16" s="6" t="n"/>
      <c r="F16" s="7" t="n"/>
      <c r="G16" s="8" t="n"/>
      <c r="H16" s="9" t="n"/>
      <c r="I16" s="7" t="n"/>
      <c r="J16" s="4" t="n"/>
      <c r="K16" s="7" t="n"/>
      <c r="L16" s="7" t="n"/>
      <c r="M16" s="7" t="n"/>
      <c r="N16" s="7" t="n"/>
      <c r="O16" s="7" t="n"/>
      <c r="P16" s="10">
        <f>IF(K16="","",K16/5*15)</f>
        <v/>
      </c>
      <c r="Q16" s="10">
        <f>IF(H16="","",H16/5*15)</f>
        <v/>
      </c>
      <c r="R16" s="10">
        <f>IF(G16="","",IF(G16&gt;=5000,5,IF(G16&gt;=2000,4,IF(G16&gt;=1000,3,IF(G16&gt;=300,2,IF(G16&gt;=50,1,0)))))/5*12)</f>
        <v/>
      </c>
      <c r="S16" s="10">
        <f>IF(L16="","",L16/5*10)</f>
        <v/>
      </c>
      <c r="T16" s="10">
        <f>IF(M16="","",M16/5*15)</f>
        <v/>
      </c>
      <c r="U16" s="10">
        <f>IF(I16="","",IF(I16="En stock",5,IF(I16="Variable",3,0))/5*8)</f>
        <v/>
      </c>
      <c r="V16" s="10">
        <f>IF(N16="","",N16/5*8)</f>
        <v/>
      </c>
      <c r="W16" s="10">
        <f>IF(O16="","",O16/5*17)</f>
        <v/>
      </c>
      <c r="X16" s="11">
        <f>IF(B16="","",SUM(P16:W16))</f>
        <v/>
      </c>
      <c r="Y16" s="10">
        <f>IF(X16="","",IF(X16&gt;=80,"✅ Retenu (top)",IF(X16&gt;=65,"👍 Bon candidat",IF(X16&gt;=50,"⚠️ À challenger","❌ Écarter"))))</f>
        <v/>
      </c>
      <c r="Z16" s="12" t="n"/>
    </row>
    <row r="17">
      <c r="A17" s="4" t="n"/>
      <c r="B17" s="4" t="n"/>
      <c r="C17" s="4" t="n"/>
      <c r="D17" s="4" t="n"/>
      <c r="E17" s="6" t="n"/>
      <c r="F17" s="7" t="n"/>
      <c r="G17" s="8" t="n"/>
      <c r="H17" s="9" t="n"/>
      <c r="I17" s="7" t="n"/>
      <c r="J17" s="4" t="n"/>
      <c r="K17" s="7" t="n"/>
      <c r="L17" s="7" t="n"/>
      <c r="M17" s="7" t="n"/>
      <c r="N17" s="7" t="n"/>
      <c r="O17" s="7" t="n"/>
      <c r="P17" s="10">
        <f>IF(K17="","",K17/5*15)</f>
        <v/>
      </c>
      <c r="Q17" s="10">
        <f>IF(H17="","",H17/5*15)</f>
        <v/>
      </c>
      <c r="R17" s="10">
        <f>IF(G17="","",IF(G17&gt;=5000,5,IF(G17&gt;=2000,4,IF(G17&gt;=1000,3,IF(G17&gt;=300,2,IF(G17&gt;=50,1,0)))))/5*12)</f>
        <v/>
      </c>
      <c r="S17" s="10">
        <f>IF(L17="","",L17/5*10)</f>
        <v/>
      </c>
      <c r="T17" s="10">
        <f>IF(M17="","",M17/5*15)</f>
        <v/>
      </c>
      <c r="U17" s="10">
        <f>IF(I17="","",IF(I17="En stock",5,IF(I17="Variable",3,0))/5*8)</f>
        <v/>
      </c>
      <c r="V17" s="10">
        <f>IF(N17="","",N17/5*8)</f>
        <v/>
      </c>
      <c r="W17" s="10">
        <f>IF(O17="","",O17/5*17)</f>
        <v/>
      </c>
      <c r="X17" s="11">
        <f>IF(B17="","",SUM(P17:W17))</f>
        <v/>
      </c>
      <c r="Y17" s="10">
        <f>IF(X17="","",IF(X17&gt;=80,"✅ Retenu (top)",IF(X17&gt;=65,"👍 Bon candidat",IF(X17&gt;=50,"⚠️ À challenger","❌ Écarter"))))</f>
        <v/>
      </c>
      <c r="Z17" s="12" t="n"/>
    </row>
    <row r="18">
      <c r="A18" s="4" t="n"/>
      <c r="B18" s="4" t="n"/>
      <c r="C18" s="4" t="n"/>
      <c r="D18" s="4" t="n"/>
      <c r="E18" s="6" t="n"/>
      <c r="F18" s="7" t="n"/>
      <c r="G18" s="8" t="n"/>
      <c r="H18" s="9" t="n"/>
      <c r="I18" s="7" t="n"/>
      <c r="J18" s="4" t="n"/>
      <c r="K18" s="7" t="n"/>
      <c r="L18" s="7" t="n"/>
      <c r="M18" s="7" t="n"/>
      <c r="N18" s="7" t="n"/>
      <c r="O18" s="7" t="n"/>
      <c r="P18" s="10">
        <f>IF(K18="","",K18/5*15)</f>
        <v/>
      </c>
      <c r="Q18" s="10">
        <f>IF(H18="","",H18/5*15)</f>
        <v/>
      </c>
      <c r="R18" s="10">
        <f>IF(G18="","",IF(G18&gt;=5000,5,IF(G18&gt;=2000,4,IF(G18&gt;=1000,3,IF(G18&gt;=300,2,IF(G18&gt;=50,1,0)))))/5*12)</f>
        <v/>
      </c>
      <c r="S18" s="10">
        <f>IF(L18="","",L18/5*10)</f>
        <v/>
      </c>
      <c r="T18" s="10">
        <f>IF(M18="","",M18/5*15)</f>
        <v/>
      </c>
      <c r="U18" s="10">
        <f>IF(I18="","",IF(I18="En stock",5,IF(I18="Variable",3,0))/5*8)</f>
        <v/>
      </c>
      <c r="V18" s="10">
        <f>IF(N18="","",N18/5*8)</f>
        <v/>
      </c>
      <c r="W18" s="10">
        <f>IF(O18="","",O18/5*17)</f>
        <v/>
      </c>
      <c r="X18" s="11">
        <f>IF(B18="","",SUM(P18:W18))</f>
        <v/>
      </c>
      <c r="Y18" s="10">
        <f>IF(X18="","",IF(X18&gt;=80,"✅ Retenu (top)",IF(X18&gt;=65,"👍 Bon candidat",IF(X18&gt;=50,"⚠️ À challenger","❌ Écarter"))))</f>
        <v/>
      </c>
      <c r="Z18" s="12" t="n"/>
    </row>
    <row r="19">
      <c r="A19" s="4" t="n"/>
      <c r="B19" s="4" t="n"/>
      <c r="C19" s="4" t="n"/>
      <c r="D19" s="4" t="n"/>
      <c r="E19" s="6" t="n"/>
      <c r="F19" s="7" t="n"/>
      <c r="G19" s="8" t="n"/>
      <c r="H19" s="9" t="n"/>
      <c r="I19" s="7" t="n"/>
      <c r="J19" s="4" t="n"/>
      <c r="K19" s="7" t="n"/>
      <c r="L19" s="7" t="n"/>
      <c r="M19" s="7" t="n"/>
      <c r="N19" s="7" t="n"/>
      <c r="O19" s="7" t="n"/>
      <c r="P19" s="10">
        <f>IF(K19="","",K19/5*15)</f>
        <v/>
      </c>
      <c r="Q19" s="10">
        <f>IF(H19="","",H19/5*15)</f>
        <v/>
      </c>
      <c r="R19" s="10">
        <f>IF(G19="","",IF(G19&gt;=5000,5,IF(G19&gt;=2000,4,IF(G19&gt;=1000,3,IF(G19&gt;=300,2,IF(G19&gt;=50,1,0)))))/5*12)</f>
        <v/>
      </c>
      <c r="S19" s="10">
        <f>IF(L19="","",L19/5*10)</f>
        <v/>
      </c>
      <c r="T19" s="10">
        <f>IF(M19="","",M19/5*15)</f>
        <v/>
      </c>
      <c r="U19" s="10">
        <f>IF(I19="","",IF(I19="En stock",5,IF(I19="Variable",3,0))/5*8)</f>
        <v/>
      </c>
      <c r="V19" s="10">
        <f>IF(N19="","",N19/5*8)</f>
        <v/>
      </c>
      <c r="W19" s="10">
        <f>IF(O19="","",O19/5*17)</f>
        <v/>
      </c>
      <c r="X19" s="11">
        <f>IF(B19="","",SUM(P19:W19))</f>
        <v/>
      </c>
      <c r="Y19" s="10">
        <f>IF(X19="","",IF(X19&gt;=80,"✅ Retenu (top)",IF(X19&gt;=65,"👍 Bon candidat",IF(X19&gt;=50,"⚠️ À challenger","❌ Écarter"))))</f>
        <v/>
      </c>
      <c r="Z19" s="12" t="n"/>
    </row>
    <row r="20">
      <c r="A20" s="4" t="n"/>
      <c r="B20" s="4" t="n"/>
      <c r="C20" s="4" t="n"/>
      <c r="D20" s="4" t="n"/>
      <c r="E20" s="6" t="n"/>
      <c r="F20" s="7" t="n"/>
      <c r="G20" s="8" t="n"/>
      <c r="H20" s="9" t="n"/>
      <c r="I20" s="7" t="n"/>
      <c r="J20" s="4" t="n"/>
      <c r="K20" s="7" t="n"/>
      <c r="L20" s="7" t="n"/>
      <c r="M20" s="7" t="n"/>
      <c r="N20" s="7" t="n"/>
      <c r="O20" s="7" t="n"/>
      <c r="P20" s="10">
        <f>IF(K20="","",K20/5*15)</f>
        <v/>
      </c>
      <c r="Q20" s="10">
        <f>IF(H20="","",H20/5*15)</f>
        <v/>
      </c>
      <c r="R20" s="10">
        <f>IF(G20="","",IF(G20&gt;=5000,5,IF(G20&gt;=2000,4,IF(G20&gt;=1000,3,IF(G20&gt;=300,2,IF(G20&gt;=50,1,0)))))/5*12)</f>
        <v/>
      </c>
      <c r="S20" s="10">
        <f>IF(L20="","",L20/5*10)</f>
        <v/>
      </c>
      <c r="T20" s="10">
        <f>IF(M20="","",M20/5*15)</f>
        <v/>
      </c>
      <c r="U20" s="10">
        <f>IF(I20="","",IF(I20="En stock",5,IF(I20="Variable",3,0))/5*8)</f>
        <v/>
      </c>
      <c r="V20" s="10">
        <f>IF(N20="","",N20/5*8)</f>
        <v/>
      </c>
      <c r="W20" s="10">
        <f>IF(O20="","",O20/5*17)</f>
        <v/>
      </c>
      <c r="X20" s="11">
        <f>IF(B20="","",SUM(P20:W20))</f>
        <v/>
      </c>
      <c r="Y20" s="10">
        <f>IF(X20="","",IF(X20&gt;=80,"✅ Retenu (top)",IF(X20&gt;=65,"👍 Bon candidat",IF(X20&gt;=50,"⚠️ À challenger","❌ Écarter"))))</f>
        <v/>
      </c>
      <c r="Z20" s="12" t="n"/>
    </row>
    <row r="21">
      <c r="A21" s="4" t="n"/>
      <c r="B21" s="4" t="n"/>
      <c r="C21" s="4" t="n"/>
      <c r="D21" s="4" t="n"/>
      <c r="E21" s="6" t="n"/>
      <c r="F21" s="7" t="n"/>
      <c r="G21" s="8" t="n"/>
      <c r="H21" s="9" t="n"/>
      <c r="I21" s="7" t="n"/>
      <c r="J21" s="4" t="n"/>
      <c r="K21" s="7" t="n"/>
      <c r="L21" s="7" t="n"/>
      <c r="M21" s="7" t="n"/>
      <c r="N21" s="7" t="n"/>
      <c r="O21" s="7" t="n"/>
      <c r="P21" s="10">
        <f>IF(K21="","",K21/5*15)</f>
        <v/>
      </c>
      <c r="Q21" s="10">
        <f>IF(H21="","",H21/5*15)</f>
        <v/>
      </c>
      <c r="R21" s="10">
        <f>IF(G21="","",IF(G21&gt;=5000,5,IF(G21&gt;=2000,4,IF(G21&gt;=1000,3,IF(G21&gt;=300,2,IF(G21&gt;=50,1,0)))))/5*12)</f>
        <v/>
      </c>
      <c r="S21" s="10">
        <f>IF(L21="","",L21/5*10)</f>
        <v/>
      </c>
      <c r="T21" s="10">
        <f>IF(M21="","",M21/5*15)</f>
        <v/>
      </c>
      <c r="U21" s="10">
        <f>IF(I21="","",IF(I21="En stock",5,IF(I21="Variable",3,0))/5*8)</f>
        <v/>
      </c>
      <c r="V21" s="10">
        <f>IF(N21="","",N21/5*8)</f>
        <v/>
      </c>
      <c r="W21" s="10">
        <f>IF(O21="","",O21/5*17)</f>
        <v/>
      </c>
      <c r="X21" s="11">
        <f>IF(B21="","",SUM(P21:W21))</f>
        <v/>
      </c>
      <c r="Y21" s="10">
        <f>IF(X21="","",IF(X21&gt;=80,"✅ Retenu (top)",IF(X21&gt;=65,"👍 Bon candidat",IF(X21&gt;=50,"⚠️ À challenger","❌ Écarter"))))</f>
        <v/>
      </c>
      <c r="Z21" s="12" t="n"/>
    </row>
    <row r="22">
      <c r="A22" s="4" t="n"/>
      <c r="B22" s="4" t="n"/>
      <c r="C22" s="4" t="n"/>
      <c r="D22" s="4" t="n"/>
      <c r="E22" s="6" t="n"/>
      <c r="F22" s="7" t="n"/>
      <c r="G22" s="8" t="n"/>
      <c r="H22" s="9" t="n"/>
      <c r="I22" s="7" t="n"/>
      <c r="J22" s="4" t="n"/>
      <c r="K22" s="7" t="n"/>
      <c r="L22" s="7" t="n"/>
      <c r="M22" s="7" t="n"/>
      <c r="N22" s="7" t="n"/>
      <c r="O22" s="7" t="n"/>
      <c r="P22" s="10">
        <f>IF(K22="","",K22/5*15)</f>
        <v/>
      </c>
      <c r="Q22" s="10">
        <f>IF(H22="","",H22/5*15)</f>
        <v/>
      </c>
      <c r="R22" s="10">
        <f>IF(G22="","",IF(G22&gt;=5000,5,IF(G22&gt;=2000,4,IF(G22&gt;=1000,3,IF(G22&gt;=300,2,IF(G22&gt;=50,1,0)))))/5*12)</f>
        <v/>
      </c>
      <c r="S22" s="10">
        <f>IF(L22="","",L22/5*10)</f>
        <v/>
      </c>
      <c r="T22" s="10">
        <f>IF(M22="","",M22/5*15)</f>
        <v/>
      </c>
      <c r="U22" s="10">
        <f>IF(I22="","",IF(I22="En stock",5,IF(I22="Variable",3,0))/5*8)</f>
        <v/>
      </c>
      <c r="V22" s="10">
        <f>IF(N22="","",N22/5*8)</f>
        <v/>
      </c>
      <c r="W22" s="10">
        <f>IF(O22="","",O22/5*17)</f>
        <v/>
      </c>
      <c r="X22" s="11">
        <f>IF(B22="","",SUM(P22:W22))</f>
        <v/>
      </c>
      <c r="Y22" s="10">
        <f>IF(X22="","",IF(X22&gt;=80,"✅ Retenu (top)",IF(X22&gt;=65,"👍 Bon candidat",IF(X22&gt;=50,"⚠️ À challenger","❌ Écarter"))))</f>
        <v/>
      </c>
      <c r="Z22" s="12" t="n"/>
    </row>
    <row r="23">
      <c r="A23" s="4" t="n"/>
      <c r="B23" s="4" t="n"/>
      <c r="C23" s="4" t="n"/>
      <c r="D23" s="4" t="n"/>
      <c r="E23" s="6" t="n"/>
      <c r="F23" s="7" t="n"/>
      <c r="G23" s="8" t="n"/>
      <c r="H23" s="9" t="n"/>
      <c r="I23" s="7" t="n"/>
      <c r="J23" s="4" t="n"/>
      <c r="K23" s="7" t="n"/>
      <c r="L23" s="7" t="n"/>
      <c r="M23" s="7" t="n"/>
      <c r="N23" s="7" t="n"/>
      <c r="O23" s="7" t="n"/>
      <c r="P23" s="10">
        <f>IF(K23="","",K23/5*15)</f>
        <v/>
      </c>
      <c r="Q23" s="10">
        <f>IF(H23="","",H23/5*15)</f>
        <v/>
      </c>
      <c r="R23" s="10">
        <f>IF(G23="","",IF(G23&gt;=5000,5,IF(G23&gt;=2000,4,IF(G23&gt;=1000,3,IF(G23&gt;=300,2,IF(G23&gt;=50,1,0)))))/5*12)</f>
        <v/>
      </c>
      <c r="S23" s="10">
        <f>IF(L23="","",L23/5*10)</f>
        <v/>
      </c>
      <c r="T23" s="10">
        <f>IF(M23="","",M23/5*15)</f>
        <v/>
      </c>
      <c r="U23" s="10">
        <f>IF(I23="","",IF(I23="En stock",5,IF(I23="Variable",3,0))/5*8)</f>
        <v/>
      </c>
      <c r="V23" s="10">
        <f>IF(N23="","",N23/5*8)</f>
        <v/>
      </c>
      <c r="W23" s="10">
        <f>IF(O23="","",O23/5*17)</f>
        <v/>
      </c>
      <c r="X23" s="11">
        <f>IF(B23="","",SUM(P23:W23))</f>
        <v/>
      </c>
      <c r="Y23" s="10">
        <f>IF(X23="","",IF(X23&gt;=80,"✅ Retenu (top)",IF(X23&gt;=65,"👍 Bon candidat",IF(X23&gt;=50,"⚠️ À challenger","❌ Écarter"))))</f>
        <v/>
      </c>
      <c r="Z23" s="12" t="n"/>
    </row>
    <row r="24">
      <c r="A24" s="4" t="n"/>
      <c r="B24" s="4" t="n"/>
      <c r="C24" s="4" t="n"/>
      <c r="D24" s="4" t="n"/>
      <c r="E24" s="6" t="n"/>
      <c r="F24" s="7" t="n"/>
      <c r="G24" s="8" t="n"/>
      <c r="H24" s="9" t="n"/>
      <c r="I24" s="7" t="n"/>
      <c r="J24" s="4" t="n"/>
      <c r="K24" s="7" t="n"/>
      <c r="L24" s="7" t="n"/>
      <c r="M24" s="7" t="n"/>
      <c r="N24" s="7" t="n"/>
      <c r="O24" s="7" t="n"/>
      <c r="P24" s="10">
        <f>IF(K24="","",K24/5*15)</f>
        <v/>
      </c>
      <c r="Q24" s="10">
        <f>IF(H24="","",H24/5*15)</f>
        <v/>
      </c>
      <c r="R24" s="10">
        <f>IF(G24="","",IF(G24&gt;=5000,5,IF(G24&gt;=2000,4,IF(G24&gt;=1000,3,IF(G24&gt;=300,2,IF(G24&gt;=50,1,0)))))/5*12)</f>
        <v/>
      </c>
      <c r="S24" s="10">
        <f>IF(L24="","",L24/5*10)</f>
        <v/>
      </c>
      <c r="T24" s="10">
        <f>IF(M24="","",M24/5*15)</f>
        <v/>
      </c>
      <c r="U24" s="10">
        <f>IF(I24="","",IF(I24="En stock",5,IF(I24="Variable",3,0))/5*8)</f>
        <v/>
      </c>
      <c r="V24" s="10">
        <f>IF(N24="","",N24/5*8)</f>
        <v/>
      </c>
      <c r="W24" s="10">
        <f>IF(O24="","",O24/5*17)</f>
        <v/>
      </c>
      <c r="X24" s="11">
        <f>IF(B24="","",SUM(P24:W24))</f>
        <v/>
      </c>
      <c r="Y24" s="10">
        <f>IF(X24="","",IF(X24&gt;=80,"✅ Retenu (top)",IF(X24&gt;=65,"👍 Bon candidat",IF(X24&gt;=50,"⚠️ À challenger","❌ Écarter"))))</f>
        <v/>
      </c>
      <c r="Z24" s="12" t="n"/>
    </row>
    <row r="25">
      <c r="A25" s="4" t="n"/>
      <c r="B25" s="4" t="n"/>
      <c r="C25" s="4" t="n"/>
      <c r="D25" s="4" t="n"/>
      <c r="E25" s="6" t="n"/>
      <c r="F25" s="7" t="n"/>
      <c r="G25" s="8" t="n"/>
      <c r="H25" s="9" t="n"/>
      <c r="I25" s="7" t="n"/>
      <c r="J25" s="4" t="n"/>
      <c r="K25" s="7" t="n"/>
      <c r="L25" s="7" t="n"/>
      <c r="M25" s="7" t="n"/>
      <c r="N25" s="7" t="n"/>
      <c r="O25" s="7" t="n"/>
      <c r="P25" s="10">
        <f>IF(K25="","",K25/5*15)</f>
        <v/>
      </c>
      <c r="Q25" s="10">
        <f>IF(H25="","",H25/5*15)</f>
        <v/>
      </c>
      <c r="R25" s="10">
        <f>IF(G25="","",IF(G25&gt;=5000,5,IF(G25&gt;=2000,4,IF(G25&gt;=1000,3,IF(G25&gt;=300,2,IF(G25&gt;=50,1,0)))))/5*12)</f>
        <v/>
      </c>
      <c r="S25" s="10">
        <f>IF(L25="","",L25/5*10)</f>
        <v/>
      </c>
      <c r="T25" s="10">
        <f>IF(M25="","",M25/5*15)</f>
        <v/>
      </c>
      <c r="U25" s="10">
        <f>IF(I25="","",IF(I25="En stock",5,IF(I25="Variable",3,0))/5*8)</f>
        <v/>
      </c>
      <c r="V25" s="10">
        <f>IF(N25="","",N25/5*8)</f>
        <v/>
      </c>
      <c r="W25" s="10">
        <f>IF(O25="","",O25/5*17)</f>
        <v/>
      </c>
      <c r="X25" s="11">
        <f>IF(B25="","",SUM(P25:W25))</f>
        <v/>
      </c>
      <c r="Y25" s="10">
        <f>IF(X25="","",IF(X25&gt;=80,"✅ Retenu (top)",IF(X25&gt;=65,"👍 Bon candidat",IF(X25&gt;=50,"⚠️ À challenger","❌ Écarter"))))</f>
        <v/>
      </c>
      <c r="Z25" s="12" t="n"/>
    </row>
    <row r="26">
      <c r="A26" s="4" t="n"/>
      <c r="B26" s="4" t="n"/>
      <c r="C26" s="4" t="n"/>
      <c r="D26" s="4" t="n"/>
      <c r="E26" s="6" t="n"/>
      <c r="F26" s="7" t="n"/>
      <c r="G26" s="8" t="n"/>
      <c r="H26" s="9" t="n"/>
      <c r="I26" s="7" t="n"/>
      <c r="J26" s="4" t="n"/>
      <c r="K26" s="7" t="n"/>
      <c r="L26" s="7" t="n"/>
      <c r="M26" s="7" t="n"/>
      <c r="N26" s="7" t="n"/>
      <c r="O26" s="7" t="n"/>
      <c r="P26" s="10">
        <f>IF(K26="","",K26/5*15)</f>
        <v/>
      </c>
      <c r="Q26" s="10">
        <f>IF(H26="","",H26/5*15)</f>
        <v/>
      </c>
      <c r="R26" s="10">
        <f>IF(G26="","",IF(G26&gt;=5000,5,IF(G26&gt;=2000,4,IF(G26&gt;=1000,3,IF(G26&gt;=300,2,IF(G26&gt;=50,1,0)))))/5*12)</f>
        <v/>
      </c>
      <c r="S26" s="10">
        <f>IF(L26="","",L26/5*10)</f>
        <v/>
      </c>
      <c r="T26" s="10">
        <f>IF(M26="","",M26/5*15)</f>
        <v/>
      </c>
      <c r="U26" s="10">
        <f>IF(I26="","",IF(I26="En stock",5,IF(I26="Variable",3,0))/5*8)</f>
        <v/>
      </c>
      <c r="V26" s="10">
        <f>IF(N26="","",N26/5*8)</f>
        <v/>
      </c>
      <c r="W26" s="10">
        <f>IF(O26="","",O26/5*17)</f>
        <v/>
      </c>
      <c r="X26" s="11">
        <f>IF(B26="","",SUM(P26:W26))</f>
        <v/>
      </c>
      <c r="Y26" s="10">
        <f>IF(X26="","",IF(X26&gt;=80,"✅ Retenu (top)",IF(X26&gt;=65,"👍 Bon candidat",IF(X26&gt;=50,"⚠️ À challenger","❌ Écarter"))))</f>
        <v/>
      </c>
      <c r="Z26" s="12" t="n"/>
    </row>
    <row r="27">
      <c r="A27" s="4" t="n"/>
      <c r="B27" s="4" t="n"/>
      <c r="C27" s="4" t="n"/>
      <c r="D27" s="4" t="n"/>
      <c r="E27" s="6" t="n"/>
      <c r="F27" s="7" t="n"/>
      <c r="G27" s="8" t="n"/>
      <c r="H27" s="9" t="n"/>
      <c r="I27" s="7" t="n"/>
      <c r="J27" s="4" t="n"/>
      <c r="K27" s="7" t="n"/>
      <c r="L27" s="7" t="n"/>
      <c r="M27" s="7" t="n"/>
      <c r="N27" s="7" t="n"/>
      <c r="O27" s="7" t="n"/>
      <c r="P27" s="10">
        <f>IF(K27="","",K27/5*15)</f>
        <v/>
      </c>
      <c r="Q27" s="10">
        <f>IF(H27="","",H27/5*15)</f>
        <v/>
      </c>
      <c r="R27" s="10">
        <f>IF(G27="","",IF(G27&gt;=5000,5,IF(G27&gt;=2000,4,IF(G27&gt;=1000,3,IF(G27&gt;=300,2,IF(G27&gt;=50,1,0)))))/5*12)</f>
        <v/>
      </c>
      <c r="S27" s="10">
        <f>IF(L27="","",L27/5*10)</f>
        <v/>
      </c>
      <c r="T27" s="10">
        <f>IF(M27="","",M27/5*15)</f>
        <v/>
      </c>
      <c r="U27" s="10">
        <f>IF(I27="","",IF(I27="En stock",5,IF(I27="Variable",3,0))/5*8)</f>
        <v/>
      </c>
      <c r="V27" s="10">
        <f>IF(N27="","",N27/5*8)</f>
        <v/>
      </c>
      <c r="W27" s="10">
        <f>IF(O27="","",O27/5*17)</f>
        <v/>
      </c>
      <c r="X27" s="11">
        <f>IF(B27="","",SUM(P27:W27))</f>
        <v/>
      </c>
      <c r="Y27" s="10">
        <f>IF(X27="","",IF(X27&gt;=80,"✅ Retenu (top)",IF(X27&gt;=65,"👍 Bon candidat",IF(X27&gt;=50,"⚠️ À challenger","❌ Écarter"))))</f>
        <v/>
      </c>
      <c r="Z27" s="12" t="n"/>
    </row>
    <row r="28">
      <c r="A28" s="4" t="n"/>
      <c r="B28" s="4" t="n"/>
      <c r="C28" s="4" t="n"/>
      <c r="D28" s="4" t="n"/>
      <c r="E28" s="6" t="n"/>
      <c r="F28" s="7" t="n"/>
      <c r="G28" s="8" t="n"/>
      <c r="H28" s="9" t="n"/>
      <c r="I28" s="7" t="n"/>
      <c r="J28" s="4" t="n"/>
      <c r="K28" s="7" t="n"/>
      <c r="L28" s="7" t="n"/>
      <c r="M28" s="7" t="n"/>
      <c r="N28" s="7" t="n"/>
      <c r="O28" s="7" t="n"/>
      <c r="P28" s="10">
        <f>IF(K28="","",K28/5*15)</f>
        <v/>
      </c>
      <c r="Q28" s="10">
        <f>IF(H28="","",H28/5*15)</f>
        <v/>
      </c>
      <c r="R28" s="10">
        <f>IF(G28="","",IF(G28&gt;=5000,5,IF(G28&gt;=2000,4,IF(G28&gt;=1000,3,IF(G28&gt;=300,2,IF(G28&gt;=50,1,0)))))/5*12)</f>
        <v/>
      </c>
      <c r="S28" s="10">
        <f>IF(L28="","",L28/5*10)</f>
        <v/>
      </c>
      <c r="T28" s="10">
        <f>IF(M28="","",M28/5*15)</f>
        <v/>
      </c>
      <c r="U28" s="10">
        <f>IF(I28="","",IF(I28="En stock",5,IF(I28="Variable",3,0))/5*8)</f>
        <v/>
      </c>
      <c r="V28" s="10">
        <f>IF(N28="","",N28/5*8)</f>
        <v/>
      </c>
      <c r="W28" s="10">
        <f>IF(O28="","",O28/5*17)</f>
        <v/>
      </c>
      <c r="X28" s="11">
        <f>IF(B28="","",SUM(P28:W28))</f>
        <v/>
      </c>
      <c r="Y28" s="10">
        <f>IF(X28="","",IF(X28&gt;=80,"✅ Retenu (top)",IF(X28&gt;=65,"👍 Bon candidat",IF(X28&gt;=50,"⚠️ À challenger","❌ Écarter"))))</f>
        <v/>
      </c>
      <c r="Z28" s="12" t="n"/>
    </row>
    <row r="29">
      <c r="A29" s="4" t="n"/>
      <c r="B29" s="4" t="n"/>
      <c r="C29" s="4" t="n"/>
      <c r="D29" s="4" t="n"/>
      <c r="E29" s="6" t="n"/>
      <c r="F29" s="7" t="n"/>
      <c r="G29" s="8" t="n"/>
      <c r="H29" s="9" t="n"/>
      <c r="I29" s="7" t="n"/>
      <c r="J29" s="4" t="n"/>
      <c r="K29" s="7" t="n"/>
      <c r="L29" s="7" t="n"/>
      <c r="M29" s="7" t="n"/>
      <c r="N29" s="7" t="n"/>
      <c r="O29" s="7" t="n"/>
      <c r="P29" s="10">
        <f>IF(K29="","",K29/5*15)</f>
        <v/>
      </c>
      <c r="Q29" s="10">
        <f>IF(H29="","",H29/5*15)</f>
        <v/>
      </c>
      <c r="R29" s="10">
        <f>IF(G29="","",IF(G29&gt;=5000,5,IF(G29&gt;=2000,4,IF(G29&gt;=1000,3,IF(G29&gt;=300,2,IF(G29&gt;=50,1,0)))))/5*12)</f>
        <v/>
      </c>
      <c r="S29" s="10">
        <f>IF(L29="","",L29/5*10)</f>
        <v/>
      </c>
      <c r="T29" s="10">
        <f>IF(M29="","",M29/5*15)</f>
        <v/>
      </c>
      <c r="U29" s="10">
        <f>IF(I29="","",IF(I29="En stock",5,IF(I29="Variable",3,0))/5*8)</f>
        <v/>
      </c>
      <c r="V29" s="10">
        <f>IF(N29="","",N29/5*8)</f>
        <v/>
      </c>
      <c r="W29" s="10">
        <f>IF(O29="","",O29/5*17)</f>
        <v/>
      </c>
      <c r="X29" s="11">
        <f>IF(B29="","",SUM(P29:W29))</f>
        <v/>
      </c>
      <c r="Y29" s="10">
        <f>IF(X29="","",IF(X29&gt;=80,"✅ Retenu (top)",IF(X29&gt;=65,"👍 Bon candidat",IF(X29&gt;=50,"⚠️ À challenger","❌ Écarter"))))</f>
        <v/>
      </c>
      <c r="Z29" s="12" t="n"/>
    </row>
    <row r="30">
      <c r="A30" s="4" t="n"/>
      <c r="B30" s="4" t="n"/>
      <c r="C30" s="4" t="n"/>
      <c r="D30" s="4" t="n"/>
      <c r="E30" s="6" t="n"/>
      <c r="F30" s="7" t="n"/>
      <c r="G30" s="8" t="n"/>
      <c r="H30" s="9" t="n"/>
      <c r="I30" s="7" t="n"/>
      <c r="J30" s="4" t="n"/>
      <c r="K30" s="7" t="n"/>
      <c r="L30" s="7" t="n"/>
      <c r="M30" s="7" t="n"/>
      <c r="N30" s="7" t="n"/>
      <c r="O30" s="7" t="n"/>
      <c r="P30" s="10">
        <f>IF(K30="","",K30/5*15)</f>
        <v/>
      </c>
      <c r="Q30" s="10">
        <f>IF(H30="","",H30/5*15)</f>
        <v/>
      </c>
      <c r="R30" s="10">
        <f>IF(G30="","",IF(G30&gt;=5000,5,IF(G30&gt;=2000,4,IF(G30&gt;=1000,3,IF(G30&gt;=300,2,IF(G30&gt;=50,1,0)))))/5*12)</f>
        <v/>
      </c>
      <c r="S30" s="10">
        <f>IF(L30="","",L30/5*10)</f>
        <v/>
      </c>
      <c r="T30" s="10">
        <f>IF(M30="","",M30/5*15)</f>
        <v/>
      </c>
      <c r="U30" s="10">
        <f>IF(I30="","",IF(I30="En stock",5,IF(I30="Variable",3,0))/5*8)</f>
        <v/>
      </c>
      <c r="V30" s="10">
        <f>IF(N30="","",N30/5*8)</f>
        <v/>
      </c>
      <c r="W30" s="10">
        <f>IF(O30="","",O30/5*17)</f>
        <v/>
      </c>
      <c r="X30" s="11">
        <f>IF(B30="","",SUM(P30:W30))</f>
        <v/>
      </c>
      <c r="Y30" s="10">
        <f>IF(X30="","",IF(X30&gt;=80,"✅ Retenu (top)",IF(X30&gt;=65,"👍 Bon candidat",IF(X30&gt;=50,"⚠️ À challenger","❌ Écarter"))))</f>
        <v/>
      </c>
      <c r="Z30" s="12" t="n"/>
    </row>
    <row r="31">
      <c r="A31" s="4" t="n"/>
      <c r="B31" s="4" t="n"/>
      <c r="C31" s="4" t="n"/>
      <c r="D31" s="4" t="n"/>
      <c r="E31" s="6" t="n"/>
      <c r="F31" s="7" t="n"/>
      <c r="G31" s="8" t="n"/>
      <c r="H31" s="9" t="n"/>
      <c r="I31" s="7" t="n"/>
      <c r="J31" s="4" t="n"/>
      <c r="K31" s="7" t="n"/>
      <c r="L31" s="7" t="n"/>
      <c r="M31" s="7" t="n"/>
      <c r="N31" s="7" t="n"/>
      <c r="O31" s="7" t="n"/>
      <c r="P31" s="10">
        <f>IF(K31="","",K31/5*15)</f>
        <v/>
      </c>
      <c r="Q31" s="10">
        <f>IF(H31="","",H31/5*15)</f>
        <v/>
      </c>
      <c r="R31" s="10">
        <f>IF(G31="","",IF(G31&gt;=5000,5,IF(G31&gt;=2000,4,IF(G31&gt;=1000,3,IF(G31&gt;=300,2,IF(G31&gt;=50,1,0)))))/5*12)</f>
        <v/>
      </c>
      <c r="S31" s="10">
        <f>IF(L31="","",L31/5*10)</f>
        <v/>
      </c>
      <c r="T31" s="10">
        <f>IF(M31="","",M31/5*15)</f>
        <v/>
      </c>
      <c r="U31" s="10">
        <f>IF(I31="","",IF(I31="En stock",5,IF(I31="Variable",3,0))/5*8)</f>
        <v/>
      </c>
      <c r="V31" s="10">
        <f>IF(N31="","",N31/5*8)</f>
        <v/>
      </c>
      <c r="W31" s="10">
        <f>IF(O31="","",O31/5*17)</f>
        <v/>
      </c>
      <c r="X31" s="11">
        <f>IF(B31="","",SUM(P31:W31))</f>
        <v/>
      </c>
      <c r="Y31" s="10">
        <f>IF(X31="","",IF(X31&gt;=80,"✅ Retenu (top)",IF(X31&gt;=65,"👍 Bon candidat",IF(X31&gt;=50,"⚠️ À challenger","❌ Écarter"))))</f>
        <v/>
      </c>
      <c r="Z31" s="12" t="n"/>
    </row>
    <row r="32">
      <c r="A32" s="4" t="n"/>
      <c r="B32" s="4" t="n"/>
      <c r="C32" s="4" t="n"/>
      <c r="D32" s="4" t="n"/>
      <c r="E32" s="6" t="n"/>
      <c r="F32" s="7" t="n"/>
      <c r="G32" s="8" t="n"/>
      <c r="H32" s="9" t="n"/>
      <c r="I32" s="7" t="n"/>
      <c r="J32" s="4" t="n"/>
      <c r="K32" s="7" t="n"/>
      <c r="L32" s="7" t="n"/>
      <c r="M32" s="7" t="n"/>
      <c r="N32" s="7" t="n"/>
      <c r="O32" s="7" t="n"/>
      <c r="P32" s="10">
        <f>IF(K32="","",K32/5*15)</f>
        <v/>
      </c>
      <c r="Q32" s="10">
        <f>IF(H32="","",H32/5*15)</f>
        <v/>
      </c>
      <c r="R32" s="10">
        <f>IF(G32="","",IF(G32&gt;=5000,5,IF(G32&gt;=2000,4,IF(G32&gt;=1000,3,IF(G32&gt;=300,2,IF(G32&gt;=50,1,0)))))/5*12)</f>
        <v/>
      </c>
      <c r="S32" s="10">
        <f>IF(L32="","",L32/5*10)</f>
        <v/>
      </c>
      <c r="T32" s="10">
        <f>IF(M32="","",M32/5*15)</f>
        <v/>
      </c>
      <c r="U32" s="10">
        <f>IF(I32="","",IF(I32="En stock",5,IF(I32="Variable",3,0))/5*8)</f>
        <v/>
      </c>
      <c r="V32" s="10">
        <f>IF(N32="","",N32/5*8)</f>
        <v/>
      </c>
      <c r="W32" s="10">
        <f>IF(O32="","",O32/5*17)</f>
        <v/>
      </c>
      <c r="X32" s="11">
        <f>IF(B32="","",SUM(P32:W32))</f>
        <v/>
      </c>
      <c r="Y32" s="10">
        <f>IF(X32="","",IF(X32&gt;=80,"✅ Retenu (top)",IF(X32&gt;=65,"👍 Bon candidat",IF(X32&gt;=50,"⚠️ À challenger","❌ Écarter"))))</f>
        <v/>
      </c>
      <c r="Z32" s="12" t="n"/>
    </row>
    <row r="33">
      <c r="A33" s="4" t="n"/>
      <c r="B33" s="4" t="n"/>
      <c r="C33" s="4" t="n"/>
      <c r="D33" s="4" t="n"/>
      <c r="E33" s="6" t="n"/>
      <c r="F33" s="7" t="n"/>
      <c r="G33" s="8" t="n"/>
      <c r="H33" s="9" t="n"/>
      <c r="I33" s="7" t="n"/>
      <c r="J33" s="4" t="n"/>
      <c r="K33" s="7" t="n"/>
      <c r="L33" s="7" t="n"/>
      <c r="M33" s="7" t="n"/>
      <c r="N33" s="7" t="n"/>
      <c r="O33" s="7" t="n"/>
      <c r="P33" s="10">
        <f>IF(K33="","",K33/5*15)</f>
        <v/>
      </c>
      <c r="Q33" s="10">
        <f>IF(H33="","",H33/5*15)</f>
        <v/>
      </c>
      <c r="R33" s="10">
        <f>IF(G33="","",IF(G33&gt;=5000,5,IF(G33&gt;=2000,4,IF(G33&gt;=1000,3,IF(G33&gt;=300,2,IF(G33&gt;=50,1,0)))))/5*12)</f>
        <v/>
      </c>
      <c r="S33" s="10">
        <f>IF(L33="","",L33/5*10)</f>
        <v/>
      </c>
      <c r="T33" s="10">
        <f>IF(M33="","",M33/5*15)</f>
        <v/>
      </c>
      <c r="U33" s="10">
        <f>IF(I33="","",IF(I33="En stock",5,IF(I33="Variable",3,0))/5*8)</f>
        <v/>
      </c>
      <c r="V33" s="10">
        <f>IF(N33="","",N33/5*8)</f>
        <v/>
      </c>
      <c r="W33" s="10">
        <f>IF(O33="","",O33/5*17)</f>
        <v/>
      </c>
      <c r="X33" s="11">
        <f>IF(B33="","",SUM(P33:W33))</f>
        <v/>
      </c>
      <c r="Y33" s="10">
        <f>IF(X33="","",IF(X33&gt;=80,"✅ Retenu (top)",IF(X33&gt;=65,"👍 Bon candidat",IF(X33&gt;=50,"⚠️ À challenger","❌ Écarter"))))</f>
        <v/>
      </c>
      <c r="Z33" s="12" t="n"/>
    </row>
    <row r="34">
      <c r="A34" s="4" t="n"/>
      <c r="B34" s="4" t="n"/>
      <c r="C34" s="4" t="n"/>
      <c r="D34" s="4" t="n"/>
      <c r="E34" s="6" t="n"/>
      <c r="F34" s="7" t="n"/>
      <c r="G34" s="8" t="n"/>
      <c r="H34" s="9" t="n"/>
      <c r="I34" s="7" t="n"/>
      <c r="J34" s="4" t="n"/>
      <c r="K34" s="7" t="n"/>
      <c r="L34" s="7" t="n"/>
      <c r="M34" s="7" t="n"/>
      <c r="N34" s="7" t="n"/>
      <c r="O34" s="7" t="n"/>
      <c r="P34" s="10">
        <f>IF(K34="","",K34/5*15)</f>
        <v/>
      </c>
      <c r="Q34" s="10">
        <f>IF(H34="","",H34/5*15)</f>
        <v/>
      </c>
      <c r="R34" s="10">
        <f>IF(G34="","",IF(G34&gt;=5000,5,IF(G34&gt;=2000,4,IF(G34&gt;=1000,3,IF(G34&gt;=300,2,IF(G34&gt;=50,1,0)))))/5*12)</f>
        <v/>
      </c>
      <c r="S34" s="10">
        <f>IF(L34="","",L34/5*10)</f>
        <v/>
      </c>
      <c r="T34" s="10">
        <f>IF(M34="","",M34/5*15)</f>
        <v/>
      </c>
      <c r="U34" s="10">
        <f>IF(I34="","",IF(I34="En stock",5,IF(I34="Variable",3,0))/5*8)</f>
        <v/>
      </c>
      <c r="V34" s="10">
        <f>IF(N34="","",N34/5*8)</f>
        <v/>
      </c>
      <c r="W34" s="10">
        <f>IF(O34="","",O34/5*17)</f>
        <v/>
      </c>
      <c r="X34" s="11">
        <f>IF(B34="","",SUM(P34:W34))</f>
        <v/>
      </c>
      <c r="Y34" s="10">
        <f>IF(X34="","",IF(X34&gt;=80,"✅ Retenu (top)",IF(X34&gt;=65,"👍 Bon candidat",IF(X34&gt;=50,"⚠️ À challenger","❌ Écarter"))))</f>
        <v/>
      </c>
      <c r="Z34" s="12" t="n"/>
    </row>
    <row r="35">
      <c r="A35" s="4" t="n"/>
      <c r="B35" s="4" t="n"/>
      <c r="C35" s="4" t="n"/>
      <c r="D35" s="4" t="n"/>
      <c r="E35" s="6" t="n"/>
      <c r="F35" s="7" t="n"/>
      <c r="G35" s="8" t="n"/>
      <c r="H35" s="9" t="n"/>
      <c r="I35" s="7" t="n"/>
      <c r="J35" s="4" t="n"/>
      <c r="K35" s="7" t="n"/>
      <c r="L35" s="7" t="n"/>
      <c r="M35" s="7" t="n"/>
      <c r="N35" s="7" t="n"/>
      <c r="O35" s="7" t="n"/>
      <c r="P35" s="10">
        <f>IF(K35="","",K35/5*15)</f>
        <v/>
      </c>
      <c r="Q35" s="10">
        <f>IF(H35="","",H35/5*15)</f>
        <v/>
      </c>
      <c r="R35" s="10">
        <f>IF(G35="","",IF(G35&gt;=5000,5,IF(G35&gt;=2000,4,IF(G35&gt;=1000,3,IF(G35&gt;=300,2,IF(G35&gt;=50,1,0)))))/5*12)</f>
        <v/>
      </c>
      <c r="S35" s="10">
        <f>IF(L35="","",L35/5*10)</f>
        <v/>
      </c>
      <c r="T35" s="10">
        <f>IF(M35="","",M35/5*15)</f>
        <v/>
      </c>
      <c r="U35" s="10">
        <f>IF(I35="","",IF(I35="En stock",5,IF(I35="Variable",3,0))/5*8)</f>
        <v/>
      </c>
      <c r="V35" s="10">
        <f>IF(N35="","",N35/5*8)</f>
        <v/>
      </c>
      <c r="W35" s="10">
        <f>IF(O35="","",O35/5*17)</f>
        <v/>
      </c>
      <c r="X35" s="11">
        <f>IF(B35="","",SUM(P35:W35))</f>
        <v/>
      </c>
      <c r="Y35" s="10">
        <f>IF(X35="","",IF(X35&gt;=80,"✅ Retenu (top)",IF(X35&gt;=65,"👍 Bon candidat",IF(X35&gt;=50,"⚠️ À challenger","❌ Écarter"))))</f>
        <v/>
      </c>
      <c r="Z35" s="12" t="n"/>
    </row>
    <row r="36">
      <c r="A36" s="4" t="n"/>
      <c r="B36" s="4" t="n"/>
      <c r="C36" s="4" t="n"/>
      <c r="D36" s="4" t="n"/>
      <c r="E36" s="6" t="n"/>
      <c r="F36" s="7" t="n"/>
      <c r="G36" s="8" t="n"/>
      <c r="H36" s="9" t="n"/>
      <c r="I36" s="7" t="n"/>
      <c r="J36" s="4" t="n"/>
      <c r="K36" s="7" t="n"/>
      <c r="L36" s="7" t="n"/>
      <c r="M36" s="7" t="n"/>
      <c r="N36" s="7" t="n"/>
      <c r="O36" s="7" t="n"/>
      <c r="P36" s="10">
        <f>IF(K36="","",K36/5*15)</f>
        <v/>
      </c>
      <c r="Q36" s="10">
        <f>IF(H36="","",H36/5*15)</f>
        <v/>
      </c>
      <c r="R36" s="10">
        <f>IF(G36="","",IF(G36&gt;=5000,5,IF(G36&gt;=2000,4,IF(G36&gt;=1000,3,IF(G36&gt;=300,2,IF(G36&gt;=50,1,0)))))/5*12)</f>
        <v/>
      </c>
      <c r="S36" s="10">
        <f>IF(L36="","",L36/5*10)</f>
        <v/>
      </c>
      <c r="T36" s="10">
        <f>IF(M36="","",M36/5*15)</f>
        <v/>
      </c>
      <c r="U36" s="10">
        <f>IF(I36="","",IF(I36="En stock",5,IF(I36="Variable",3,0))/5*8)</f>
        <v/>
      </c>
      <c r="V36" s="10">
        <f>IF(N36="","",N36/5*8)</f>
        <v/>
      </c>
      <c r="W36" s="10">
        <f>IF(O36="","",O36/5*17)</f>
        <v/>
      </c>
      <c r="X36" s="11">
        <f>IF(B36="","",SUM(P36:W36))</f>
        <v/>
      </c>
      <c r="Y36" s="10">
        <f>IF(X36="","",IF(X36&gt;=80,"✅ Retenu (top)",IF(X36&gt;=65,"👍 Bon candidat",IF(X36&gt;=50,"⚠️ À challenger","❌ Écarter"))))</f>
        <v/>
      </c>
      <c r="Z36" s="12" t="n"/>
    </row>
    <row r="37">
      <c r="A37" s="4" t="n"/>
      <c r="B37" s="4" t="n"/>
      <c r="C37" s="4" t="n"/>
      <c r="D37" s="4" t="n"/>
      <c r="E37" s="6" t="n"/>
      <c r="F37" s="7" t="n"/>
      <c r="G37" s="8" t="n"/>
      <c r="H37" s="9" t="n"/>
      <c r="I37" s="7" t="n"/>
      <c r="J37" s="4" t="n"/>
      <c r="K37" s="7" t="n"/>
      <c r="L37" s="7" t="n"/>
      <c r="M37" s="7" t="n"/>
      <c r="N37" s="7" t="n"/>
      <c r="O37" s="7" t="n"/>
      <c r="P37" s="10">
        <f>IF(K37="","",K37/5*15)</f>
        <v/>
      </c>
      <c r="Q37" s="10">
        <f>IF(H37="","",H37/5*15)</f>
        <v/>
      </c>
      <c r="R37" s="10">
        <f>IF(G37="","",IF(G37&gt;=5000,5,IF(G37&gt;=2000,4,IF(G37&gt;=1000,3,IF(G37&gt;=300,2,IF(G37&gt;=50,1,0)))))/5*12)</f>
        <v/>
      </c>
      <c r="S37" s="10">
        <f>IF(L37="","",L37/5*10)</f>
        <v/>
      </c>
      <c r="T37" s="10">
        <f>IF(M37="","",M37/5*15)</f>
        <v/>
      </c>
      <c r="U37" s="10">
        <f>IF(I37="","",IF(I37="En stock",5,IF(I37="Variable",3,0))/5*8)</f>
        <v/>
      </c>
      <c r="V37" s="10">
        <f>IF(N37="","",N37/5*8)</f>
        <v/>
      </c>
      <c r="W37" s="10">
        <f>IF(O37="","",O37/5*17)</f>
        <v/>
      </c>
      <c r="X37" s="11">
        <f>IF(B37="","",SUM(P37:W37))</f>
        <v/>
      </c>
      <c r="Y37" s="10">
        <f>IF(X37="","",IF(X37&gt;=80,"✅ Retenu (top)",IF(X37&gt;=65,"👍 Bon candidat",IF(X37&gt;=50,"⚠️ À challenger","❌ Écarter"))))</f>
        <v/>
      </c>
      <c r="Z37" s="12" t="n"/>
    </row>
    <row r="38">
      <c r="A38" s="4" t="n"/>
      <c r="B38" s="4" t="n"/>
      <c r="C38" s="4" t="n"/>
      <c r="D38" s="4" t="n"/>
      <c r="E38" s="6" t="n"/>
      <c r="F38" s="7" t="n"/>
      <c r="G38" s="8" t="n"/>
      <c r="H38" s="9" t="n"/>
      <c r="I38" s="7" t="n"/>
      <c r="J38" s="4" t="n"/>
      <c r="K38" s="7" t="n"/>
      <c r="L38" s="7" t="n"/>
      <c r="M38" s="7" t="n"/>
      <c r="N38" s="7" t="n"/>
      <c r="O38" s="7" t="n"/>
      <c r="P38" s="10">
        <f>IF(K38="","",K38/5*15)</f>
        <v/>
      </c>
      <c r="Q38" s="10">
        <f>IF(H38="","",H38/5*15)</f>
        <v/>
      </c>
      <c r="R38" s="10">
        <f>IF(G38="","",IF(G38&gt;=5000,5,IF(G38&gt;=2000,4,IF(G38&gt;=1000,3,IF(G38&gt;=300,2,IF(G38&gt;=50,1,0)))))/5*12)</f>
        <v/>
      </c>
      <c r="S38" s="10">
        <f>IF(L38="","",L38/5*10)</f>
        <v/>
      </c>
      <c r="T38" s="10">
        <f>IF(M38="","",M38/5*15)</f>
        <v/>
      </c>
      <c r="U38" s="10">
        <f>IF(I38="","",IF(I38="En stock",5,IF(I38="Variable",3,0))/5*8)</f>
        <v/>
      </c>
      <c r="V38" s="10">
        <f>IF(N38="","",N38/5*8)</f>
        <v/>
      </c>
      <c r="W38" s="10">
        <f>IF(O38="","",O38/5*17)</f>
        <v/>
      </c>
      <c r="X38" s="11">
        <f>IF(B38="","",SUM(P38:W38))</f>
        <v/>
      </c>
      <c r="Y38" s="10">
        <f>IF(X38="","",IF(X38&gt;=80,"✅ Retenu (top)",IF(X38&gt;=65,"👍 Bon candidat",IF(X38&gt;=50,"⚠️ À challenger","❌ Écarter"))))</f>
        <v/>
      </c>
      <c r="Z38" s="12" t="n"/>
    </row>
    <row r="39">
      <c r="A39" s="4" t="n"/>
      <c r="B39" s="4" t="n"/>
      <c r="C39" s="4" t="n"/>
      <c r="D39" s="4" t="n"/>
      <c r="E39" s="6" t="n"/>
      <c r="F39" s="7" t="n"/>
      <c r="G39" s="8" t="n"/>
      <c r="H39" s="9" t="n"/>
      <c r="I39" s="7" t="n"/>
      <c r="J39" s="4" t="n"/>
      <c r="K39" s="7" t="n"/>
      <c r="L39" s="7" t="n"/>
      <c r="M39" s="7" t="n"/>
      <c r="N39" s="7" t="n"/>
      <c r="O39" s="7" t="n"/>
      <c r="P39" s="10">
        <f>IF(K39="","",K39/5*15)</f>
        <v/>
      </c>
      <c r="Q39" s="10">
        <f>IF(H39="","",H39/5*15)</f>
        <v/>
      </c>
      <c r="R39" s="10">
        <f>IF(G39="","",IF(G39&gt;=5000,5,IF(G39&gt;=2000,4,IF(G39&gt;=1000,3,IF(G39&gt;=300,2,IF(G39&gt;=50,1,0)))))/5*12)</f>
        <v/>
      </c>
      <c r="S39" s="10">
        <f>IF(L39="","",L39/5*10)</f>
        <v/>
      </c>
      <c r="T39" s="10">
        <f>IF(M39="","",M39/5*15)</f>
        <v/>
      </c>
      <c r="U39" s="10">
        <f>IF(I39="","",IF(I39="En stock",5,IF(I39="Variable",3,0))/5*8)</f>
        <v/>
      </c>
      <c r="V39" s="10">
        <f>IF(N39="","",N39/5*8)</f>
        <v/>
      </c>
      <c r="W39" s="10">
        <f>IF(O39="","",O39/5*17)</f>
        <v/>
      </c>
      <c r="X39" s="11">
        <f>IF(B39="","",SUM(P39:W39))</f>
        <v/>
      </c>
      <c r="Y39" s="10">
        <f>IF(X39="","",IF(X39&gt;=80,"✅ Retenu (top)",IF(X39&gt;=65,"👍 Bon candidat",IF(X39&gt;=50,"⚠️ À challenger","❌ Écarter"))))</f>
        <v/>
      </c>
      <c r="Z39" s="12" t="n"/>
    </row>
    <row r="40">
      <c r="A40" s="4" t="n"/>
      <c r="B40" s="4" t="n"/>
      <c r="C40" s="4" t="n"/>
      <c r="D40" s="4" t="n"/>
      <c r="E40" s="6" t="n"/>
      <c r="F40" s="7" t="n"/>
      <c r="G40" s="8" t="n"/>
      <c r="H40" s="9" t="n"/>
      <c r="I40" s="7" t="n"/>
      <c r="J40" s="4" t="n"/>
      <c r="K40" s="7" t="n"/>
      <c r="L40" s="7" t="n"/>
      <c r="M40" s="7" t="n"/>
      <c r="N40" s="7" t="n"/>
      <c r="O40" s="7" t="n"/>
      <c r="P40" s="10">
        <f>IF(K40="","",K40/5*15)</f>
        <v/>
      </c>
      <c r="Q40" s="10">
        <f>IF(H40="","",H40/5*15)</f>
        <v/>
      </c>
      <c r="R40" s="10">
        <f>IF(G40="","",IF(G40&gt;=5000,5,IF(G40&gt;=2000,4,IF(G40&gt;=1000,3,IF(G40&gt;=300,2,IF(G40&gt;=50,1,0)))))/5*12)</f>
        <v/>
      </c>
      <c r="S40" s="10">
        <f>IF(L40="","",L40/5*10)</f>
        <v/>
      </c>
      <c r="T40" s="10">
        <f>IF(M40="","",M40/5*15)</f>
        <v/>
      </c>
      <c r="U40" s="10">
        <f>IF(I40="","",IF(I40="En stock",5,IF(I40="Variable",3,0))/5*8)</f>
        <v/>
      </c>
      <c r="V40" s="10">
        <f>IF(N40="","",N40/5*8)</f>
        <v/>
      </c>
      <c r="W40" s="10">
        <f>IF(O40="","",O40/5*17)</f>
        <v/>
      </c>
      <c r="X40" s="11">
        <f>IF(B40="","",SUM(P40:W40))</f>
        <v/>
      </c>
      <c r="Y40" s="10">
        <f>IF(X40="","",IF(X40&gt;=80,"✅ Retenu (top)",IF(X40&gt;=65,"👍 Bon candidat",IF(X40&gt;=50,"⚠️ À challenger","❌ Écarter"))))</f>
        <v/>
      </c>
      <c r="Z40" s="12" t="n"/>
    </row>
    <row r="41">
      <c r="A41" s="4" t="n"/>
      <c r="B41" s="4" t="n"/>
      <c r="C41" s="4" t="n"/>
      <c r="D41" s="4" t="n"/>
      <c r="E41" s="6" t="n"/>
      <c r="F41" s="7" t="n"/>
      <c r="G41" s="8" t="n"/>
      <c r="H41" s="9" t="n"/>
      <c r="I41" s="7" t="n"/>
      <c r="J41" s="4" t="n"/>
      <c r="K41" s="7" t="n"/>
      <c r="L41" s="7" t="n"/>
      <c r="M41" s="7" t="n"/>
      <c r="N41" s="7" t="n"/>
      <c r="O41" s="7" t="n"/>
      <c r="P41" s="10">
        <f>IF(K41="","",K41/5*15)</f>
        <v/>
      </c>
      <c r="Q41" s="10">
        <f>IF(H41="","",H41/5*15)</f>
        <v/>
      </c>
      <c r="R41" s="10">
        <f>IF(G41="","",IF(G41&gt;=5000,5,IF(G41&gt;=2000,4,IF(G41&gt;=1000,3,IF(G41&gt;=300,2,IF(G41&gt;=50,1,0)))))/5*12)</f>
        <v/>
      </c>
      <c r="S41" s="10">
        <f>IF(L41="","",L41/5*10)</f>
        <v/>
      </c>
      <c r="T41" s="10">
        <f>IF(M41="","",M41/5*15)</f>
        <v/>
      </c>
      <c r="U41" s="10">
        <f>IF(I41="","",IF(I41="En stock",5,IF(I41="Variable",3,0))/5*8)</f>
        <v/>
      </c>
      <c r="V41" s="10">
        <f>IF(N41="","",N41/5*8)</f>
        <v/>
      </c>
      <c r="W41" s="10">
        <f>IF(O41="","",O41/5*17)</f>
        <v/>
      </c>
      <c r="X41" s="11">
        <f>IF(B41="","",SUM(P41:W41))</f>
        <v/>
      </c>
      <c r="Y41" s="10">
        <f>IF(X41="","",IF(X41&gt;=80,"✅ Retenu (top)",IF(X41&gt;=65,"👍 Bon candidat",IF(X41&gt;=50,"⚠️ À challenger","❌ Écarter"))))</f>
        <v/>
      </c>
      <c r="Z41" s="12" t="n"/>
    </row>
    <row r="42">
      <c r="A42" s="4" t="n"/>
      <c r="B42" s="4" t="n"/>
      <c r="C42" s="4" t="n"/>
      <c r="D42" s="4" t="n"/>
      <c r="E42" s="6" t="n"/>
      <c r="F42" s="7" t="n"/>
      <c r="G42" s="8" t="n"/>
      <c r="H42" s="9" t="n"/>
      <c r="I42" s="7" t="n"/>
      <c r="J42" s="4" t="n"/>
      <c r="K42" s="7" t="n"/>
      <c r="L42" s="7" t="n"/>
      <c r="M42" s="7" t="n"/>
      <c r="N42" s="7" t="n"/>
      <c r="O42" s="7" t="n"/>
      <c r="P42" s="10">
        <f>IF(K42="","",K42/5*15)</f>
        <v/>
      </c>
      <c r="Q42" s="10">
        <f>IF(H42="","",H42/5*15)</f>
        <v/>
      </c>
      <c r="R42" s="10">
        <f>IF(G42="","",IF(G42&gt;=5000,5,IF(G42&gt;=2000,4,IF(G42&gt;=1000,3,IF(G42&gt;=300,2,IF(G42&gt;=50,1,0)))))/5*12)</f>
        <v/>
      </c>
      <c r="S42" s="10">
        <f>IF(L42="","",L42/5*10)</f>
        <v/>
      </c>
      <c r="T42" s="10">
        <f>IF(M42="","",M42/5*15)</f>
        <v/>
      </c>
      <c r="U42" s="10">
        <f>IF(I42="","",IF(I42="En stock",5,IF(I42="Variable",3,0))/5*8)</f>
        <v/>
      </c>
      <c r="V42" s="10">
        <f>IF(N42="","",N42/5*8)</f>
        <v/>
      </c>
      <c r="W42" s="10">
        <f>IF(O42="","",O42/5*17)</f>
        <v/>
      </c>
      <c r="X42" s="11">
        <f>IF(B42="","",SUM(P42:W42))</f>
        <v/>
      </c>
      <c r="Y42" s="10">
        <f>IF(X42="","",IF(X42&gt;=80,"✅ Retenu (top)",IF(X42&gt;=65,"👍 Bon candidat",IF(X42&gt;=50,"⚠️ À challenger","❌ Écarter"))))</f>
        <v/>
      </c>
      <c r="Z42" s="12" t="n"/>
    </row>
  </sheetData>
  <autoFilter ref="A2:Z2"/>
  <mergeCells count="1">
    <mergeCell ref="A1:Z1"/>
  </mergeCells>
  <conditionalFormatting sqref="X3:X42">
    <cfRule type="colorScale" priority="1">
      <colorScale>
        <cfvo type="num" val="40"/>
        <cfvo type="num" val="65"/>
        <cfvo type="num" val="90"/>
        <color rgb="00F8B4C0"/>
        <color rgb="00FCE3A6"/>
        <color rgb="00A8E6C1"/>
      </colorScale>
    </cfRule>
  </conditionalFormatting>
  <dataValidations count="5">
    <dataValidation sqref="A3:A42" showDropDown="0" showInputMessage="0" showErrorMessage="0" allowBlank="1" type="list">
      <formula1>=Creneaux!$A$2:$A$19</formula1>
    </dataValidation>
    <dataValidation sqref="F3:F42" showDropDown="0" showInputMessage="0" showErrorMessage="0" allowBlank="1" type="list">
      <formula1>"Débutant,Intermédiaire,Expert,Tous"</formula1>
    </dataValidation>
    <dataValidation sqref="I3:I42" showDropDown="0" showInputMessage="0" showErrorMessage="0" allowBlank="1" type="list">
      <formula1>"En stock,Variable,Rupture fréquente"</formula1>
    </dataValidation>
    <dataValidation sqref="H3:H42" showDropDown="0" showInputMessage="0" showErrorMessage="0" allowBlank="1" errorTitle="Valeur invalide" error="Note entre 0 et 5" type="decimal" operator="between">
      <formula1>0</formula1>
      <formula2>5</formula2>
    </dataValidation>
    <dataValidation sqref="K3:K42 L3:L42 M3:M42 N3:N42 O3:O42" showDropDown="0" showInputMessage="0" showErrorMessage="0" allowBlank="1" errorTitle="Valeur invalide" error="Score entre 0 et 5" type="whole" operator="between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14" customWidth="1" min="4" max="4"/>
    <col width="13" customWidth="1" min="5" max="5"/>
    <col width="16" customWidth="1" min="6" max="6"/>
  </cols>
  <sheetData>
    <row r="1">
      <c r="A1" s="2" t="inlineStr">
        <is>
          <t>Créneau (id)</t>
        </is>
      </c>
      <c r="B1" s="2" t="inlineStr">
        <is>
          <t>Produit</t>
        </is>
      </c>
      <c r="C1" s="2" t="inlineStr">
        <is>
          <t>Mot-clé SEO</t>
        </is>
      </c>
      <c r="D1" s="2" t="inlineStr">
        <is>
          <t>Catégorie</t>
        </is>
      </c>
      <c r="E1" s="2" t="inlineStr">
        <is>
          <t>Liens générés</t>
        </is>
      </c>
      <c r="F1" s="2" t="inlineStr">
        <is>
          <t>ASIN retenu</t>
        </is>
      </c>
    </row>
    <row r="2">
      <c r="A2" s="12" t="inlineStr">
        <is>
          <t>halteres-reglables</t>
        </is>
      </c>
      <c r="B2" s="12" t="inlineStr">
        <is>
          <t>Haltères réglables</t>
        </is>
      </c>
      <c r="C2" s="12" t="inlineStr">
        <is>
          <t>halteres reglables musculation</t>
        </is>
      </c>
      <c r="D2" s="13" t="inlineStr">
        <is>
          <t>halteres</t>
        </is>
      </c>
      <c r="E2" s="13" t="n">
        <v>31</v>
      </c>
      <c r="F2" s="4" t="inlineStr"/>
    </row>
    <row r="3">
      <c r="A3" s="12" t="inlineStr">
        <is>
          <t>whey</t>
        </is>
      </c>
      <c r="B3" s="12" t="inlineStr">
        <is>
          <t>Whey protéine</t>
        </is>
      </c>
      <c r="C3" s="12" t="inlineStr">
        <is>
          <t>whey proteine musculation</t>
        </is>
      </c>
      <c r="D3" s="13" t="inlineStr">
        <is>
          <t>nutrition</t>
        </is>
      </c>
      <c r="E3" s="13" t="n">
        <v>29</v>
      </c>
      <c r="F3" s="4" t="inlineStr"/>
    </row>
    <row r="4">
      <c r="A4" s="12" t="inlineStr">
        <is>
          <t>tapis-sol</t>
        </is>
      </c>
      <c r="B4" s="12" t="inlineStr">
        <is>
          <t>Tapis de sol / fitness</t>
        </is>
      </c>
      <c r="C4" s="12" t="inlineStr">
        <is>
          <t>tapis de sol fitness epais</t>
        </is>
      </c>
      <c r="D4" s="13" t="inlineStr">
        <is>
          <t>accessoire</t>
        </is>
      </c>
      <c r="E4" s="13" t="n">
        <v>24</v>
      </c>
      <c r="F4" s="4" t="inlineStr"/>
    </row>
    <row r="5">
      <c r="A5" s="12" t="inlineStr">
        <is>
          <t>elastiques</t>
        </is>
      </c>
      <c r="B5" s="12" t="inlineStr">
        <is>
          <t>Bandes élastiques de résistance</t>
        </is>
      </c>
      <c r="C5" s="12" t="inlineStr">
        <is>
          <t>bande elastique musculation resistance</t>
        </is>
      </c>
      <c r="D5" s="13" t="inlineStr">
        <is>
          <t>accessoire</t>
        </is>
      </c>
      <c r="E5" s="13" t="n">
        <v>20</v>
      </c>
      <c r="F5" s="4" t="inlineStr"/>
    </row>
    <row r="6">
      <c r="A6" s="12" t="inlineStr">
        <is>
          <t>creatine</t>
        </is>
      </c>
      <c r="B6" s="12" t="inlineStr">
        <is>
          <t>Créatine monohydrate</t>
        </is>
      </c>
      <c r="C6" s="12" t="inlineStr">
        <is>
          <t>creatine monohydrate</t>
        </is>
      </c>
      <c r="D6" s="13" t="inlineStr">
        <is>
          <t>nutrition</t>
        </is>
      </c>
      <c r="E6" s="13" t="n">
        <v>20</v>
      </c>
      <c r="F6" s="4" t="inlineStr"/>
    </row>
    <row r="7">
      <c r="A7" s="12" t="inlineStr">
        <is>
          <t>banc-reglable</t>
        </is>
      </c>
      <c r="B7" s="12" t="inlineStr">
        <is>
          <t>Banc de musculation réglable</t>
        </is>
      </c>
      <c r="C7" s="12" t="inlineStr">
        <is>
          <t>banc de musculation reglable inclinable</t>
        </is>
      </c>
      <c r="D7" s="13" t="inlineStr">
        <is>
          <t>banc</t>
        </is>
      </c>
      <c r="E7" s="13" t="n">
        <v>17</v>
      </c>
      <c r="F7" s="4" t="inlineStr"/>
    </row>
    <row r="8">
      <c r="A8" s="12" t="inlineStr">
        <is>
          <t>barre-traction</t>
        </is>
      </c>
      <c r="B8" s="12" t="inlineStr">
        <is>
          <t>Barre de traction</t>
        </is>
      </c>
      <c r="C8" s="12" t="inlineStr">
        <is>
          <t>barre de traction porte murale</t>
        </is>
      </c>
      <c r="D8" s="13" t="inlineStr">
        <is>
          <t>accessoire</t>
        </is>
      </c>
      <c r="E8" s="13" t="n">
        <v>14</v>
      </c>
      <c r="F8" s="4" t="inlineStr"/>
    </row>
    <row r="9">
      <c r="A9" s="12" t="inlineStr">
        <is>
          <t>rack-squat</t>
        </is>
      </c>
      <c r="B9" s="12" t="inlineStr">
        <is>
          <t>Rack à squat / cage</t>
        </is>
      </c>
      <c r="C9" s="12" t="inlineStr">
        <is>
          <t>rack squat cage musculation</t>
        </is>
      </c>
      <c r="D9" s="13" t="inlineStr">
        <is>
          <t>structure</t>
        </is>
      </c>
      <c r="E9" s="13" t="n">
        <v>13</v>
      </c>
      <c r="F9" s="4" t="inlineStr"/>
    </row>
    <row r="10">
      <c r="A10" s="12" t="inlineStr">
        <is>
          <t>corde-sauter</t>
        </is>
      </c>
      <c r="B10" s="12" t="inlineStr">
        <is>
          <t>Corde à sauter</t>
        </is>
      </c>
      <c r="C10" s="12" t="inlineStr">
        <is>
          <t>corde a sauter crossfit lestee</t>
        </is>
      </c>
      <c r="D10" s="13" t="inlineStr">
        <is>
          <t>cardio</t>
        </is>
      </c>
      <c r="E10" s="13" t="n">
        <v>12</v>
      </c>
      <c r="F10" s="4" t="inlineStr"/>
    </row>
    <row r="11">
      <c r="A11" s="12" t="inlineStr">
        <is>
          <t>barre-olympique</t>
        </is>
      </c>
      <c r="B11" s="12" t="inlineStr">
        <is>
          <t>Barre olympique + disques</t>
        </is>
      </c>
      <c r="C11" s="12" t="inlineStr">
        <is>
          <t>barre olympique 20kg disques</t>
        </is>
      </c>
      <c r="D11" s="13" t="inlineStr">
        <is>
          <t>structure</t>
        </is>
      </c>
      <c r="E11" s="13" t="n">
        <v>11</v>
      </c>
      <c r="F11" s="4" t="inlineStr"/>
    </row>
    <row r="12">
      <c r="A12" s="12" t="inlineStr">
        <is>
          <t>ceinture-lombaire</t>
        </is>
      </c>
      <c r="B12" s="12" t="inlineStr">
        <is>
          <t>Ceinture de force lombaire</t>
        </is>
      </c>
      <c r="C12" s="12" t="inlineStr">
        <is>
          <t>ceinture de musculation force lombaire</t>
        </is>
      </c>
      <c r="D12" s="13" t="inlineStr">
        <is>
          <t>accessoire</t>
        </is>
      </c>
      <c r="E12" s="13" t="n">
        <v>10</v>
      </c>
      <c r="F12" s="4" t="inlineStr"/>
    </row>
    <row r="13">
      <c r="A13" s="12" t="inlineStr">
        <is>
          <t>kettlebell</t>
        </is>
      </c>
      <c r="B13" s="12" t="inlineStr">
        <is>
          <t>Kettlebell</t>
        </is>
      </c>
      <c r="C13" s="12" t="inlineStr">
        <is>
          <t>kettlebell fonte musculation</t>
        </is>
      </c>
      <c r="D13" s="13" t="inlineStr">
        <is>
          <t>halteres</t>
        </is>
      </c>
      <c r="E13" s="13" t="n">
        <v>9</v>
      </c>
      <c r="F13" s="4" t="inlineStr"/>
    </row>
    <row r="14">
      <c r="A14" s="12" t="inlineStr">
        <is>
          <t>montre-cardio</t>
        </is>
      </c>
      <c r="B14" s="12" t="inlineStr">
        <is>
          <t>Montre connectée sport</t>
        </is>
      </c>
      <c r="C14" s="12" t="inlineStr">
        <is>
          <t>montre connectee sport cardio</t>
        </is>
      </c>
      <c r="D14" s="13" t="inlineStr">
        <is>
          <t>cardio</t>
        </is>
      </c>
      <c r="E14" s="13" t="n">
        <v>9</v>
      </c>
      <c r="F14" s="4" t="inlineStr"/>
    </row>
    <row r="15">
      <c r="A15" s="12" t="inlineStr">
        <is>
          <t>roue-abdos</t>
        </is>
      </c>
      <c r="B15" s="12" t="inlineStr">
        <is>
          <t>Roue à abdominaux (AB wheel)</t>
        </is>
      </c>
      <c r="C15" s="12" t="inlineStr">
        <is>
          <t>roue abdominaux ab wheel</t>
        </is>
      </c>
      <c r="D15" s="13" t="inlineStr">
        <is>
          <t>accessoire</t>
        </is>
      </c>
      <c r="E15" s="13" t="n">
        <v>7</v>
      </c>
      <c r="F15" s="4" t="inlineStr"/>
    </row>
    <row r="16">
      <c r="A16" s="12" t="inlineStr">
        <is>
          <t>sangles-tractions</t>
        </is>
      </c>
      <c r="B16" s="12" t="inlineStr">
        <is>
          <t>Sangles de tirage / straps</t>
        </is>
      </c>
      <c r="C16" s="12" t="inlineStr">
        <is>
          <t>straps sangles de tirage musculation</t>
        </is>
      </c>
      <c r="D16" s="13" t="inlineStr">
        <is>
          <t>accessoire</t>
        </is>
      </c>
      <c r="E16" s="13" t="n">
        <v>7</v>
      </c>
      <c r="F16" s="4" t="inlineStr"/>
    </row>
    <row r="17">
      <c r="A17" s="12" t="inlineStr">
        <is>
          <t>velo-appartement</t>
        </is>
      </c>
      <c r="B17" s="12" t="inlineStr">
        <is>
          <t>Vélo d'appartement</t>
        </is>
      </c>
      <c r="C17" s="12" t="inlineStr">
        <is>
          <t>velo d'appartement fitness</t>
        </is>
      </c>
      <c r="D17" s="13" t="inlineStr">
        <is>
          <t>cardio</t>
        </is>
      </c>
      <c r="E17" s="13" t="n">
        <v>5</v>
      </c>
      <c r="F17" s="4" t="inlineStr"/>
    </row>
    <row r="18">
      <c r="A18" s="12" t="inlineStr">
        <is>
          <t>tapis-course-pliable</t>
        </is>
      </c>
      <c r="B18" s="12" t="inlineStr">
        <is>
          <t>Tapis de course pliable</t>
        </is>
      </c>
      <c r="C18" s="12" t="inlineStr">
        <is>
          <t>tapis de course pliable appartement</t>
        </is>
      </c>
      <c r="D18" s="13" t="inlineStr">
        <is>
          <t>cardio</t>
        </is>
      </c>
      <c r="E18" s="13" t="n">
        <v>2</v>
      </c>
      <c r="F18" s="4" t="inlineStr"/>
    </row>
    <row r="19">
      <c r="A19" s="14" t="inlineStr">
        <is>
          <t>(nouveau créneau)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70" customWidth="1" min="4" max="4"/>
  </cols>
  <sheetData>
    <row r="1">
      <c r="A1" s="15" t="inlineStr">
        <is>
          <t>Méthodologie — comment remplir la grille</t>
        </is>
      </c>
    </row>
    <row r="2">
      <c r="A2" s="16" t="inlineStr">
        <is>
          <t>Objectif : noter chaque produit candidat et obtenir un SCORE /100 comparable entre toutes les catégories.</t>
        </is>
      </c>
    </row>
    <row r="3">
      <c r="A3" s="17" t="inlineStr">
        <is>
          <t>1.  Onglet « Grille » : une ligne = un produit candidat. Supprime la ligne d'exemple.</t>
        </is>
      </c>
    </row>
    <row r="4">
      <c r="A4" s="17" t="inlineStr">
        <is>
          <t>2.  Remplis uniquement les cellules JAUNES (texte + valeurs). Les colonnes oranges (points, score, décision) se calculent seules.</t>
        </is>
      </c>
    </row>
    <row r="5">
      <c r="A5" s="17" t="inlineStr">
        <is>
          <t>3.  « Créneau (id) » relie le candidat à un emplacement de products.json (menu déroulant). Choisis le meilleur produit par créneau.</t>
        </is>
      </c>
    </row>
    <row r="6">
      <c r="A6" s="17" t="inlineStr">
        <is>
          <t>4.  Note chaque critère de 0 à 5 selon la grille ci-dessous. Le score final pondère automatiquement.</t>
        </is>
      </c>
    </row>
    <row r="7">
      <c r="A7" s="17" t="inlineStr">
        <is>
          <t>5.  Renseigne l'ASIN une fois le produit retenu — c'est ce que tu me transmettras pour l'intégration.</t>
        </is>
      </c>
    </row>
    <row r="9">
      <c r="A9" s="15" t="inlineStr">
        <is>
          <t>Critères, poids et notation (0 à 5)</t>
        </is>
      </c>
    </row>
    <row r="10">
      <c r="A10" s="2" t="inlineStr">
        <is>
          <t>Critère</t>
        </is>
      </c>
      <c r="B10" s="2" t="inlineStr">
        <is>
          <t>Type</t>
        </is>
      </c>
      <c r="C10" s="2" t="inlineStr">
        <is>
          <t>Poids</t>
        </is>
      </c>
      <c r="D10" s="2" t="inlineStr">
        <is>
          <t>Comment attribuer la note (0 à 5)</t>
        </is>
      </c>
    </row>
    <row r="11">
      <c r="A11" s="18" t="inlineStr">
        <is>
          <t>Qualité de fabrication</t>
        </is>
      </c>
      <c r="B11" s="13" t="inlineStr">
        <is>
          <t>saisie</t>
        </is>
      </c>
      <c r="C11" s="13" t="inlineStr">
        <is>
          <t>15</t>
        </is>
      </c>
      <c r="D11" s="12" t="inlineStr">
        <is>
          <t>Matériaux, finitions, robustesse, garantie. 5 = premium durable ; 0 = fragile/bas de gamme.</t>
        </is>
      </c>
    </row>
    <row r="12">
      <c r="A12" s="18" t="inlineStr">
        <is>
          <t>Note moyenne</t>
        </is>
      </c>
      <c r="B12" s="13" t="inlineStr">
        <is>
          <t>saisie</t>
        </is>
      </c>
      <c r="C12" s="13" t="inlineStr">
        <is>
          <t>15</t>
        </is>
      </c>
      <c r="D12" s="12" t="inlineStr">
        <is>
          <t>Report direct de la note Amazon /5 (auto-pondérée). 4,6 → 4,6.</t>
        </is>
      </c>
    </row>
    <row r="13">
      <c r="A13" s="18" t="inlineStr">
        <is>
          <t>Nombre d'avis</t>
        </is>
      </c>
      <c r="B13" s="13" t="inlineStr">
        <is>
          <t>saisie</t>
        </is>
      </c>
      <c r="C13" s="13" t="inlineStr">
        <is>
          <t>12</t>
        </is>
      </c>
      <c r="D13" s="12" t="inlineStr">
        <is>
          <t>Volume d'avis (preuve sociale). Auto : ≥5000=5, ≥2000=4, ≥1000=3, ≥300=2, ≥50=1, sinon 0.</t>
        </is>
      </c>
    </row>
    <row r="14">
      <c r="A14" s="18" t="inlineStr">
        <is>
          <t>Réputation de la marque</t>
        </is>
      </c>
      <c r="B14" s="13" t="inlineStr">
        <is>
          <t>saisie</t>
        </is>
      </c>
      <c r="C14" s="13" t="inlineStr">
        <is>
          <t>10</t>
        </is>
      </c>
      <c r="D14" s="12" t="inlineStr">
        <is>
          <t>Notoriété/fiabilité de la marque. 5 = référence reconnue ; 0 = marque inconnue/douteuse.</t>
        </is>
      </c>
    </row>
    <row r="15">
      <c r="A15" s="18" t="inlineStr">
        <is>
          <t>Rapport qualité/prix</t>
        </is>
      </c>
      <c r="B15" s="13" t="inlineStr">
        <is>
          <t>saisie</t>
        </is>
      </c>
      <c r="C15" s="13" t="inlineStr">
        <is>
          <t>15</t>
        </is>
      </c>
      <c r="D15" s="12" t="inlineStr">
        <is>
          <t>Valeur perçue au prix affiché. 5 = excellent deal ; 0 = trop cher pour ce que c'est.</t>
        </is>
      </c>
    </row>
    <row r="16">
      <c r="A16" s="18" t="inlineStr">
        <is>
          <t>Disponibilité</t>
        </is>
      </c>
      <c r="B16" s="13" t="inlineStr">
        <is>
          <t>saisie</t>
        </is>
      </c>
      <c r="C16" s="13" t="inlineStr">
        <is>
          <t>8</t>
        </is>
      </c>
      <c r="D16" s="12" t="inlineStr">
        <is>
          <t>Auto depuis le menu : En stock=5, Variable=3, Rupture fréquente=0.</t>
        </is>
      </c>
    </row>
    <row r="17">
      <c r="A17" s="18" t="inlineStr">
        <is>
          <t>Historique de stabilité</t>
        </is>
      </c>
      <c r="B17" s="13" t="inlineStr">
        <is>
          <t>saisie</t>
        </is>
      </c>
      <c r="C17" s="13" t="inlineStr">
        <is>
          <t>8</t>
        </is>
      </c>
      <c r="D17" s="12" t="inlineStr">
        <is>
          <t>Produit vendu depuis longtemps, ASIN stable, peu de ruptures/remplacements. 5 = valeur sûre ; 0 = nouveau/instable.</t>
        </is>
      </c>
    </row>
    <row r="18">
      <c r="A18" s="18" t="inlineStr">
        <is>
          <t>Potentiel de conversion</t>
        </is>
      </c>
      <c r="B18" s="13" t="inlineStr">
        <is>
          <t>saisie</t>
        </is>
      </c>
      <c r="C18" s="13" t="inlineStr">
        <is>
          <t>17</t>
        </is>
      </c>
      <c r="D18" s="12" t="inlineStr">
        <is>
          <t>Adéquation intention d'achat : prix accessible, Prime, visuels, demande. 5 = achat facile ; 0 = niche/cher/hésitant.</t>
        </is>
      </c>
    </row>
    <row r="19">
      <c r="A19" s="19" t="inlineStr">
        <is>
          <t>TOTAL</t>
        </is>
      </c>
      <c r="B19" s="13" t="inlineStr"/>
      <c r="C19" s="20" t="inlineStr">
        <is>
          <t>100</t>
        </is>
      </c>
      <c r="D19" s="12" t="inlineStr">
        <is>
          <t>Somme des poids = 100 → SCORE /100.</t>
        </is>
      </c>
    </row>
    <row r="21">
      <c r="A21" s="15" t="inlineStr">
        <is>
          <t>Colonnes de contexte (n'entrent pas dans le score, mais éclairent tes notes)</t>
        </is>
      </c>
    </row>
    <row r="22">
      <c r="A22" s="17" t="inlineStr">
        <is>
          <t>• Prix moyen (€) — pour juger le rapport qualité/prix et le potentiel de conversion.</t>
        </is>
      </c>
    </row>
    <row r="23">
      <c r="A23" s="17" t="inlineStr">
        <is>
          <t>• Public cible (Débutant / Intermédiaire / Expert / Tous) — pour aligner produit et lectorat.</t>
        </is>
      </c>
    </row>
    <row r="24">
      <c r="A24" s="17" t="inlineStr">
        <is>
          <t>• Produits concurrents — références des alternatives comparées (aide à trancher).</t>
        </is>
      </c>
    </row>
    <row r="26">
      <c r="A26" s="15" t="inlineStr">
        <is>
          <t>Seuils de décision (automatiques)</t>
        </is>
      </c>
    </row>
    <row r="27">
      <c r="A27" s="2" t="inlineStr">
        <is>
          <t>Score</t>
        </is>
      </c>
      <c r="B27" s="2" t="inlineStr"/>
      <c r="C27" s="2" t="inlineStr"/>
      <c r="D27" s="2" t="inlineStr">
        <is>
          <t>Décision</t>
        </is>
      </c>
    </row>
    <row r="28">
      <c r="A28" s="18" t="inlineStr">
        <is>
          <t>80–100</t>
        </is>
      </c>
      <c r="B28" s="13" t="inlineStr"/>
      <c r="C28" s="13" t="inlineStr"/>
      <c r="D28" s="12" t="inlineStr">
        <is>
          <t>✅ Retenu (top) — à intégrer en priorité</t>
        </is>
      </c>
    </row>
    <row r="29">
      <c r="A29" s="18" t="inlineStr">
        <is>
          <t>65–79</t>
        </is>
      </c>
      <c r="B29" s="13" t="inlineStr"/>
      <c r="C29" s="13" t="inlineStr"/>
      <c r="D29" s="12" t="inlineStr">
        <is>
          <t>👍 Bon candidat — retenir si pas mieux dans le créneau</t>
        </is>
      </c>
    </row>
    <row r="30">
      <c r="A30" s="18" t="inlineStr">
        <is>
          <t>50–64</t>
        </is>
      </c>
      <c r="B30" s="13" t="inlineStr"/>
      <c r="C30" s="13" t="inlineStr"/>
      <c r="D30" s="12" t="inlineStr">
        <is>
          <t>⚠️ À challenger — chercher une meilleure alternative</t>
        </is>
      </c>
    </row>
    <row r="31">
      <c r="A31" s="18" t="inlineStr">
        <is>
          <t>0–49</t>
        </is>
      </c>
      <c r="B31" s="13" t="inlineStr"/>
      <c r="C31" s="13" t="inlineStr"/>
      <c r="D31" s="12" t="inlineStr">
        <is>
          <t>❌ Écarter</t>
        </is>
      </c>
    </row>
    <row r="34">
      <c r="A34" s="15" t="inlineStr">
        <is>
          <t>Légende couleurs</t>
        </is>
      </c>
    </row>
    <row r="35">
      <c r="A35" s="21" t="inlineStr">
        <is>
          <t>Jaune</t>
        </is>
      </c>
      <c r="D35" s="12" t="inlineStr">
        <is>
          <t>Cellules à remplir (saisie)</t>
        </is>
      </c>
    </row>
    <row r="36">
      <c r="A36" s="22" t="inlineStr">
        <is>
          <t>Orange</t>
        </is>
      </c>
      <c r="D36" s="12" t="inlineStr">
        <is>
          <t>Colonnes calculées (ne pas éditer)</t>
        </is>
      </c>
    </row>
    <row r="37">
      <c r="A37" s="23" t="inlineStr">
        <is>
          <t>Bleu</t>
        </is>
      </c>
      <c r="D37" s="12" t="inlineStr">
        <is>
          <t>Texte des valeurs saisies</t>
        </is>
      </c>
    </row>
  </sheetData>
  <mergeCells count="8">
    <mergeCell ref="A5:D5"/>
    <mergeCell ref="A23:D23"/>
    <mergeCell ref="A6:D6"/>
    <mergeCell ref="A22:D22"/>
    <mergeCell ref="A4:D4"/>
    <mergeCell ref="A3:D3"/>
    <mergeCell ref="A7:D7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2026-07-31T05:26:09Z</dcterms:created>
  <dcterms:modified xsi:type="dcterms:W3CDTF">2026-07-31T05:26:09Z</dcterms:modified>
</cp:coreProperties>
</file>