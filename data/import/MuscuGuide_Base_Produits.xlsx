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de7bc092ff46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a4cc9a4069144c9"/>
    <x:sheet xmlns:r="http://schemas.openxmlformats.org/officeDocument/2006/relationships" name="Produits" sheetId="2" r:id="R1bb0f492ab444dfa"/>
    <x:sheet xmlns:r="http://schemas.openxmlformats.org/officeDocument/2006/relationships" name="Notation" sheetId="3" r:id="R11eab3a461fc4c63"/>
    <x:sheet xmlns:r="http://schemas.openxmlformats.org/officeDocument/2006/relationships" name="Import Claude" sheetId="4" r:id="Re3890aa6224344f2"/>
    <x:sheet xmlns:r="http://schemas.openxmlformats.org/officeDocument/2006/relationships" name="Listes" sheetId="5" r:id="R597c0c1ffd8f4db8"/>
    <x:sheet xmlns:r="http://schemas.openxmlformats.org/officeDocument/2006/relationships" name="Mode d'emploi" sheetId="6" r:id="Rad35a208921646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58501e777c4d39" /><Relationship Type="http://schemas.openxmlformats.org/officeDocument/2006/relationships/theme" Target="/xl/theme/theme1.xml" Id="Raa95a36142914a64" /><Relationship Type="http://schemas.openxmlformats.org/officeDocument/2006/relationships/sharedStrings" Target="/xl/sharedStrings.xml" Id="R601ce11c0b924840" /><Relationship Type="http://schemas.openxmlformats.org/officeDocument/2006/relationships/worksheet" Target="/xl/worksheets/sheet1.xml" Id="R3a4cc9a4069144c9" /><Relationship Type="http://schemas.openxmlformats.org/officeDocument/2006/relationships/worksheet" Target="/xl/worksheets/sheet2.xml" Id="R1bb0f492ab444dfa" /><Relationship Type="http://schemas.openxmlformats.org/officeDocument/2006/relationships/worksheet" Target="/xl/worksheets/sheet3.xml" Id="R11eab3a461fc4c63" /><Relationship Type="http://schemas.openxmlformats.org/officeDocument/2006/relationships/worksheet" Target="/xl/worksheets/sheet4.xml" Id="Re3890aa6224344f2" /><Relationship Type="http://schemas.openxmlformats.org/officeDocument/2006/relationships/worksheet" Target="/xl/worksheets/sheet5.xml" Id="R597c0c1ffd8f4db8" /><Relationship Type="http://schemas.openxmlformats.org/officeDocument/2006/relationships/worksheet" Target="/xl/worksheets/sheet6.xml" Id="Rad35a208921646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0f4a2766dc449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f4a2766dc449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439c9fcded40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ab47c45491a4604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27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12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15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88.08333333333333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0</x:v>
      </x:c>
      <x:c r="F10" s="12" t="n">
        <x:f>COUNTIFS(Produits!B:B,D10,Produits!H:H,"??????????")</x:f>
        <x:v>0</x:v>
      </x:c>
      <x:c r="G10" s="12" t="n">
        <x:f>COUNTIFS(Produits!B:B,D10,Produits!AG:AG,"Validé")</x:f>
        <x:v>0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3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0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0</x:v>
      </x:c>
      <x:c r="F15" s="12" t="n">
        <x:f>COUNTIFS(Produits!B:B,D15,Produits!H:H,"??????????")</x:f>
        <x:v>0</x:v>
      </x:c>
      <x:c r="G15" s="12" t="n">
        <x:f>COUNTIFS(Produits!B:B,D15,Produits!AG:AG,"Validé")</x:f>
        <x:v>0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0</x:v>
      </x:c>
      <x:c r="F16" s="12" t="n">
        <x:f>COUNTIFS(Produits!B:B,D16,Produits!H:H,"??????????")</x:f>
        <x:v>0</x:v>
      </x:c>
      <x:c r="G16" s="12" t="n">
        <x:f>COUNTIFS(Produits!B:B,D16,Produits!AG:AG,"Validé")</x:f>
        <x:v>0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0</x:v>
      </x:c>
      <x:c r="F19" s="12" t="n">
        <x:f>COUNTIFS(Produits!B:B,D19,Produits!H:H,"??????????")</x:f>
        <x:v>0</x:v>
      </x:c>
      <x:c r="G19" s="12" t="n">
        <x:f>COUNTIFS(Produits!B:B,D19,Produits!AG:AG,"Validé")</x:f>
        <x:v>0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0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b439c9fcded408c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Vivoactive 5</x:v>
      </x:c>
      <x:c r="F16" s="12" t="str">
        <x:v>Garmin</x:v>
      </x:c>
      <x:c r="G16" s="12" t="str"/>
      <x:c r="H16" s="12" t="str"/>
      <x:c r="I16" s="12" t="str"/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str"/>
      <x:c r="P16" s="12" t="str"/>
      <x:c r="Q16" s="12" t="str"/>
      <x:c r="R16" s="12" t="str"/>
      <x:c r="S16" s="12" t="str"/>
      <x:c r="T16" s="12" t="str"/>
      <x:c r="U16" s="12" t="str">
        <x:f>IF(COUNTA(O16:T16)=0,"",SUM(O16:T16))</x:f>
      </x:c>
      <x:c r="V16" s="12" t="str">
        <x:f>IF(U16="","",IF(U16&gt;=95,"Exceptionnel",IF(U16&gt;=90,"Excellent",IF(U16&gt;=85,"Très bon",IF(U16&gt;=80,"Bon",IF(U16&gt;=70,"Correct","À revoir"))))))</x:f>
      </x:c>
      <x:c r="W16" s="12" t="str">
        <x:v>Oui</x:v>
      </x:c>
      <x:c r="X16" s="12" t="str">
        <x:v>Oui</x:v>
      </x:c>
      <x:c r="Y16" s="12" t="str">
        <x:v>Oui</x:v>
      </x:c>
      <x:c r="Z16" s="12" t="str">
        <x:v>Montre polyvalente pour fitness, santé et cardio.</x:v>
      </x:c>
      <x:c r="AA16" s="12" t="str">
        <x:v>Autonomie | Suivi complet | Marque reconnue</x:v>
      </x:c>
      <x:c r="AB16" s="12" t="str">
        <x:v>Pas la plus avancée en sport outdoor</x:v>
      </x:c>
      <x:c r="AC16" s="12" t="str">
        <x:v>Fitness général</x:v>
      </x:c>
      <x:c r="AD16" s="12" t="str"/>
      <x:c r="AE16" s="38" t="str"/>
      <x:c r="AF16" s="40" t="str"/>
      <x:c r="AG16" s="12" t="str">
        <x:v>À rechercher</x:v>
      </x:c>
      <x:c r="AH16" s="12" t="str"/>
      <x:c r="AI16" s="12" t="str">
        <x:v>ASIN déjà recherché historiquement — revalider.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Balance</x:v>
      </x:c>
      <x:c r="F17" s="12" t="str">
        <x:v>Amazfit</x:v>
      </x:c>
      <x:c r="G17" s="12" t="str"/>
      <x:c r="H17" s="12" t="str"/>
      <x:c r="I17" s="12" t="str"/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str"/>
      <x:c r="P17" s="12" t="str"/>
      <x:c r="Q17" s="12" t="str"/>
      <x:c r="R17" s="12" t="str"/>
      <x:c r="S17" s="12" t="str"/>
      <x:c r="T17" s="12" t="str"/>
      <x:c r="U17" s="12" t="str">
        <x:f>IF(COUNTA(O17:T17)=0,"",SUM(O17:T17))</x:f>
      </x:c>
      <x:c r="V17" s="12" t="str">
        <x:f>IF(U17="","",IF(U17&gt;=95,"Exceptionnel",IF(U17&gt;=90,"Excellent",IF(U17&gt;=85,"Très bon",IF(U17&gt;=80,"Bon",IF(U17&gt;=70,"Correct","À revoir"))))))</x:f>
      </x:c>
      <x:c r="W17" s="12" t="str">
        <x:v>Oui</x:v>
      </x:c>
      <x:c r="X17" s="12" t="str">
        <x:v>Oui</x:v>
      </x:c>
      <x:c r="Y17" s="12" t="str"/>
      <x:c r="Z17" s="12" t="str">
        <x:v>Montre riche en fonctions à prix compétitif.</x:v>
      </x:c>
      <x:c r="AA17" s="12" t="str">
        <x:v>Écran | Autonomie | Fonctions</x:v>
      </x:c>
      <x:c r="AB17" s="12" t="str">
        <x:v>Écosystème moins mature que Garmin</x:v>
      </x:c>
      <x:c r="AC17" s="12" t="str">
        <x:v>Débutant / intermédiaire</x:v>
      </x:c>
      <x:c r="AD17" s="12" t="str"/>
      <x:c r="AE17" s="38" t="str"/>
      <x:c r="AF17" s="40" t="str"/>
      <x:c r="AG17" s="12" t="str">
        <x:v>À rechercher</x:v>
      </x:c>
      <x:c r="AH17" s="12" t="str"/>
      <x:c r="AI17" s="12" t="str">
        <x:v>Vérifier version européenne.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Fenix 8</x:v>
      </x:c>
      <x:c r="F18" s="12" t="str">
        <x:v>Garmin</x:v>
      </x:c>
      <x:c r="G18" s="12" t="str"/>
      <x:c r="H18" s="12" t="str"/>
      <x:c r="I18" s="12" t="str"/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str"/>
      <x:c r="P18" s="12" t="str"/>
      <x:c r="Q18" s="12" t="str"/>
      <x:c r="R18" s="12" t="str"/>
      <x:c r="S18" s="12" t="str"/>
      <x:c r="T18" s="12" t="str"/>
      <x:c r="U18" s="12" t="str">
        <x:f>IF(COUNTA(O18:T18)=0,"",SUM(O18:T18))</x:f>
      </x:c>
      <x:c r="V18" s="12" t="str">
        <x:f>IF(U18="","",IF(U18&gt;=95,"Exceptionnel",IF(U18&gt;=90,"Excellent",IF(U18&gt;=85,"Très bon",IF(U18&gt;=80,"Bon",IF(U18&gt;=70,"Correct","À revoir"))))))</x:f>
      </x:c>
      <x:c r="W18" s="12" t="str"/>
      <x:c r="X18" s="12" t="str">
        <x:v>Oui</x:v>
      </x:c>
      <x:c r="Y18" s="12" t="str">
        <x:v>Oui</x:v>
      </x:c>
      <x:c r="Z18" s="12" t="str">
        <x:v>Montre multisport premium pour utilisateurs exigeants.</x:v>
      </x:c>
      <x:c r="AA18" s="12" t="str">
        <x:v>Robustesse | Cartographie | Fonctions avancées</x:v>
      </x:c>
      <x:c r="AB18" s="12" t="str">
        <x:v>Prix très élevé | Surdimensionnée pour certains</x:v>
      </x:c>
      <x:c r="AC18" s="12" t="str">
        <x:v>Sportif confirmé</x:v>
      </x:c>
      <x:c r="AD18" s="12" t="str"/>
      <x:c r="AE18" s="38" t="str"/>
      <x:c r="AF18" s="40" t="str"/>
      <x:c r="AG18" s="12" t="str">
        <x:v>À rechercher</x:v>
      </x:c>
      <x:c r="AH18" s="12" t="str"/>
      <x:c r="AI18" s="12" t="str">
        <x:v>Choisir taille/version précise.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CITYSPORTS Tapis de course pliable 12 km/h</x:v>
      </x:c>
      <x:c r="F19" s="12" t="str">
        <x:v>CITYSPORTS</x:v>
      </x:c>
      <x:c r="G19" s="12" t="str">
        <x:v>Bluetooth, application, support tablette 360°</x:v>
      </x:c>
      <x:c r="H19" s="12" t="str">
        <x:v>B0C6KTPFGB</x:v>
      </x:c>
      <x:c r="I19" s="12" t="str">
        <x:v>https://www.amazon.fr/dp/B0C6KTPFGB</x:v>
      </x:c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n">
        <x:v>22</x:v>
      </x:c>
      <x:c r="P19" s="12" t="n">
        <x:v>24</x:v>
      </x:c>
      <x:c r="Q19" s="12" t="n">
        <x:v>20</x:v>
      </x:c>
      <x:c r="R19" s="12" t="n">
        <x:v>14</x:v>
      </x:c>
      <x:c r="S19" s="12" t="n">
        <x:v>8</x:v>
      </x:c>
      <x:c r="T19" s="12" t="n">
        <x:v>3</x:v>
      </x:c>
      <x:c r="U19" s="12" t="n">
        <x:f>IF(COUNTA(O19:T19)=0,"",SUM(O19:T19))</x:f>
        <x:v>91</x:v>
      </x:c>
      <x:c r="V19" s="12" t="str">
        <x:f>IF(U19="","",IF(U19&gt;=95,"Exceptionnel",IF(U19&gt;=90,"Excellent",IF(U19&gt;=85,"Très bon",IF(U19&gt;=80,"Bon",IF(U19&gt;=70,"Correct","À revoir"))))))</x:f>
        <x:v>Excellent</x:v>
      </x:c>
      <x:c r="W19" s="12" t="str">
        <x:v>Oui</x:v>
      </x:c>
      <x:c r="X19" s="12" t="str">
        <x:v>Oui</x:v>
      </x:c>
      <x:c r="Y19" s="12" t="str"/>
      <x:c r="Z19" s="12" t="str">
        <x:v>Un tapis de course pliable polyvalent et très populaire, adapté à la marche, au jogging et à la course légère à domicile.</x:v>
      </x:c>
      <x:c r="AA19" s="12" t="str">
        <x:v>Jusqu’à 12 km/h | 4,4/5 sur plus de 4 700 évaluations | Bluetooth et application | Support tablette | Pliable et prêt à l’emploi</x:v>
      </x:c>
      <x:c r="AB19" s="12" t="str">
        <x:v>Surface de course compacte | Moins adapté aux grandes foulées | Capacité limitée pour un entraînement intensif</x:v>
      </x:c>
      <x:c r="AC19" s="12" t="str">
        <x:v>Débutant à intermédiaire recherchant un tapis compact et polyvalent</x:v>
      </x:c>
      <x:c r="AD19" s="12" t="n">
        <x:v>4766</x:v>
      </x:c>
      <x:c r="AE19" s="38" t="n">
        <x:v>4.4</x:v>
      </x:c>
      <x:c r="AF19" s="55" t="n">
        <x:v>46239</x:v>
      </x:c>
      <x:c r="AG19" s="12" t="str">
        <x:v>Validé</x:v>
      </x:c>
      <x:c r="AH19" s="12" t="str">
        <x:v>https://www.amazon.fr/dp/B0C6KTPFGB</x:v>
      </x:c>
      <x:c r="AI19" s="12" t="str">
        <x:v>ASIN, note Amazon 4,4/5 et 4 766 évaluations vérifiés le 05/08/2026. Vitesse 12 km/h, Bluetooth, application, support tablette et charge maximale 120 kg confirmés sur Amazon FR.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FITFIU Fitness MC-160</x:v>
      </x:c>
      <x:c r="F20" s="12" t="str">
        <x:v>FITFIU Fitness</x:v>
      </x:c>
      <x:c r="G20" s="12" t="str">
        <x:v>14 km/h — inclinaison manuelle 9 % — 12 programmes</x:v>
      </x:c>
      <x:c r="H20" s="12" t="str">
        <x:v>B0846FFY27</x:v>
      </x:c>
      <x:c r="I20" s="12" t="str">
        <x:v>https://www.amazon.fr/dp/B0846FFY27</x:v>
      </x:c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n">
        <x:v>20</x:v>
      </x:c>
      <x:c r="P20" s="12" t="n">
        <x:v>23</x:v>
      </x:c>
      <x:c r="Q20" s="12" t="n">
        <x:v>19</x:v>
      </x:c>
      <x:c r="R20" s="12" t="n">
        <x:v>13</x:v>
      </x:c>
      <x:c r="S20" s="12" t="n">
        <x:v>8</x:v>
      </x:c>
      <x:c r="T20" s="12" t="n">
        <x:v>3</x:v>
      </x:c>
      <x:c r="U20" s="12" t="n">
        <x:f>IF(COUNTA(O20:T20)=0,"",SUM(O20:T20))</x:f>
        <x:v>86</x:v>
      </x:c>
      <x:c r="V20" s="12" t="str">
        <x:f>IF(U20="","",IF(U20&gt;=95,"Exceptionnel",IF(U20&gt;=90,"Excellent",IF(U20&gt;=85,"Très bon",IF(U20&gt;=80,"Bon",IF(U20&gt;=70,"Correct","À revoir"))))))</x:f>
        <x:v>Très bon</x:v>
      </x:c>
      <x:c r="W20" s="12" t="str">
        <x:v>Oui</x:v>
      </x:c>
      <x:c r="X20" s="12" t="str">
        <x:v>Oui</x:v>
      </x:c>
      <x:c r="Y20" s="12" t="str"/>
      <x:c r="Z20" s="12" t="str">
        <x:v>Un modèle accessible et complet pour commencer à courir chez soi, avec inclinaison, programmes et applications connectées.</x:v>
      </x:c>
      <x:c r="AA20" s="12" t="str">
        <x:v>Bon rapport qualité/prix | Jusqu’à 14 km/h | Inclinaison 9 % | 12 programmes | Compatible Kinomap et Zwift</x:v>
      </x:c>
      <x:c r="AB20" s="12" t="str">
        <x:v>Surface de course assez courte | Inclinaison manuelle | Moins confortable pour les grands gabarits</x:v>
      </x:c>
      <x:c r="AC20" s="12" t="str">
        <x:v>Débutant ou intermédiaire souhaitant progresser avec un budget maîtrisé</x:v>
      </x:c>
      <x:c r="AD20" s="12" t="n">
        <x:v>1656</x:v>
      </x:c>
      <x:c r="AE20" s="38" t="n">
        <x:v>4.3</x:v>
      </x:c>
      <x:c r="AF20" s="55" t="n">
        <x:v>46239</x:v>
      </x:c>
      <x:c r="AG20" s="12" t="str">
        <x:v>Validé</x:v>
      </x:c>
      <x:c r="AH20" s="12" t="str">
        <x:v>https://www.amazon.fr/dp/B0846FFY27</x:v>
      </x:c>
      <x:c r="AI20" s="12" t="str">
        <x:v>ASIN, note Amazon 4,3/5 et 1 656 évaluations vérifiés le 05/08/2026. Vitesse 14 km/h, inclinaison 9 %, 12 programmes et compatibilité avec plusieurs applications confirmées.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Sportstech F31s</x:v>
      </x:c>
      <x:c r="F21" s="12" t="str">
        <x:v>Sportstech</x:v>
      </x:c>
      <x:c r="G21" s="12" t="str">
        <x:v>16 km/h — inclinaison jusqu’à 15 % — 20 programmes</x:v>
      </x:c>
      <x:c r="H21" s="12" t="str">
        <x:v>B0733BSRCV</x:v>
      </x:c>
      <x:c r="I21" s="12" t="str">
        <x:v>https://www.amazon.fr/dp/B0733BSRCV</x:v>
      </x:c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n">
        <x:v>24</x:v>
      </x:c>
      <x:c r="P21" s="12" t="n">
        <x:v>20</x:v>
      </x:c>
      <x:c r="Q21" s="12" t="n">
        <x:v>18</x:v>
      </x:c>
      <x:c r="R21" s="12" t="n">
        <x:v>15</x:v>
      </x:c>
      <x:c r="S21" s="12" t="n">
        <x:v>9</x:v>
      </x:c>
      <x:c r="T21" s="12" t="n">
        <x:v>4</x:v>
      </x:c>
      <x:c r="U21" s="12" t="n">
        <x:f>IF(COUNTA(O21:T21)=0,"",SUM(O21:T21))</x:f>
        <x:v>90</x:v>
      </x:c>
      <x:c r="V21" s="12" t="str">
        <x:f>IF(U21="","",IF(U21&gt;=95,"Exceptionnel",IF(U21&gt;=90,"Excellent",IF(U21&gt;=85,"Très bon",IF(U21&gt;=80,"Bon",IF(U21&gt;=70,"Correct","À revoir"))))))</x:f>
        <x:v>Excellent</x:v>
      </x:c>
      <x:c r="W21" s="12" t="str"/>
      <x:c r="X21" s="12" t="str">
        <x:v>Oui</x:v>
      </x:c>
      <x:c r="Y21" s="12" t="str">
        <x:v>Oui</x:v>
      </x:c>
      <x:c r="Z21" s="12" t="str">
        <x:v>Un tapis robuste et mieux équipé pour les séances régulières, avec une vitesse plus élevée, une forte inclinaison et de nombreux programmes.</x:v>
      </x:c>
      <x:c r="AA21" s="12" t="str">
        <x:v>Jusqu’à 16 km/h | Inclinaison jusqu’à 15 % | 20 programmes | Construction robuste | Pliable et autolubrifié</x:v>
      </x:c>
      <x:c r="AB21" s="12" t="str">
        <x:v>Plus lourd et encombrant | Prix supérieur | Surface encore limitée pour la course très rapide</x:v>
      </x:c>
      <x:c r="AC21" s="12" t="str">
        <x:v>Intermédiaire à confirmé recherchant un appareil plus performant</x:v>
      </x:c>
      <x:c r="AD21" s="12" t="n">
        <x:v>164</x:v>
      </x:c>
      <x:c r="AE21" s="38" t="n">
        <x:v>4.3</x:v>
      </x:c>
      <x:c r="AF21" s="55" t="n">
        <x:v>46239</x:v>
      </x:c>
      <x:c r="AG21" s="12" t="str">
        <x:v>Validé</x:v>
      </x:c>
      <x:c r="AH21" s="12" t="str">
        <x:v>https://www.amazon.fr/dp/B0733BSRCV</x:v>
      </x:c>
      <x:c r="AI21" s="12" t="str">
        <x:v>ASIN, note Amazon 4,3/5 et 164 commentaires vérifiés le 05/08/2026. Vitesse 16 km/h, inclinaison 15 %, 20 programmes et charge maximale 120 kg confirmés.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KS300</x:v>
      </x:c>
      <x:c r="F25" s="12" t="str">
        <x:v>Sportstech</x:v>
      </x:c>
      <x:c r="G25" s="12" t="str"/>
      <x:c r="H25" s="12" t="str"/>
      <x:c r="I25" s="12" t="str"/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str"/>
      <x:c r="P25" s="12" t="str"/>
      <x:c r="Q25" s="12" t="str"/>
      <x:c r="R25" s="12" t="str"/>
      <x:c r="S25" s="12" t="str"/>
      <x:c r="T25" s="12" t="str"/>
      <x:c r="U25" s="12" t="str">
        <x:f>IF(COUNTA(O25:T25)=0,"",SUM(O25:T25))</x:f>
      </x:c>
      <x:c r="V25" s="12" t="str">
        <x:f>IF(U25="","",IF(U25&gt;=95,"Exceptionnel",IF(U25&gt;=90,"Excellent",IF(U25&gt;=85,"Très bon",IF(U25&gt;=80,"Bon",IF(U25&gt;=70,"Correct","À revoir"))))))</x:f>
      </x:c>
      <x:c r="W25" s="12" t="str">
        <x:v>Oui</x:v>
      </x:c>
      <x:c r="X25" s="12" t="str">
        <x:v>Oui</x:v>
      </x:c>
      <x:c r="Y25" s="12" t="str">
        <x:v>Oui</x:v>
      </x:c>
      <x:c r="Z25" s="12" t="str">
        <x:v>Barre polyvalente pour entraînement du haut du corps.</x:v>
      </x:c>
      <x:c r="AA25" s="12" t="str">
        <x:v>Multiprises | Polyvalence | Marque connue</x:v>
      </x:c>
      <x:c r="AB25" s="12" t="str">
        <x:v>Compatibilité porte à vérifier</x:v>
      </x:c>
      <x:c r="AC25" s="12" t="str">
        <x:v>Home gym</x:v>
      </x:c>
      <x:c r="AD25" s="12" t="str"/>
      <x:c r="AE25" s="38" t="str"/>
      <x:c r="AF25" s="40" t="str"/>
      <x:c r="AG25" s="12" t="str">
        <x:v>À rechercher</x:v>
      </x:c>
      <x:c r="AH25" s="12" t="str"/>
      <x:c r="AI25" s="12" t="str">
        <x:v>Vérifier version exacte.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Wall Mounted Pull-Up Bar</x:v>
      </x:c>
      <x:c r="F26" s="12" t="str">
        <x:v>ONETWOFIT</x:v>
      </x:c>
      <x:c r="G26" s="12" t="str"/>
      <x:c r="H26" s="12" t="str"/>
      <x:c r="I26" s="12" t="str"/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str"/>
      <x:c r="P26" s="12" t="str"/>
      <x:c r="Q26" s="12" t="str"/>
      <x:c r="R26" s="12" t="str"/>
      <x:c r="S26" s="12" t="str"/>
      <x:c r="T26" s="12" t="str"/>
      <x:c r="U26" s="12" t="str">
        <x:f>IF(COUNTA(O26:T26)=0,"",SUM(O26:T26))</x:f>
      </x:c>
      <x:c r="V26" s="12" t="str">
        <x:f>IF(U26="","",IF(U26&gt;=95,"Exceptionnel",IF(U26&gt;=90,"Excellent",IF(U26&gt;=85,"Très bon",IF(U26&gt;=80,"Bon",IF(U26&gt;=70,"Correct","À revoir"))))))</x:f>
      </x:c>
      <x:c r="W26" s="12" t="str">
        <x:v>Oui</x:v>
      </x:c>
      <x:c r="X26" s="12" t="str">
        <x:v>Oui</x:v>
      </x:c>
      <x:c r="Y26" s="12" t="str">
        <x:v>Oui</x:v>
      </x:c>
      <x:c r="Z26" s="12" t="str">
        <x:v>Barre murale robuste à prix compétitif.</x:v>
      </x:c>
      <x:c r="AA26" s="12" t="str">
        <x:v>Stabilité | Multiprises | Prix</x:v>
      </x:c>
      <x:c r="AB26" s="12" t="str">
        <x:v>Installation avec perçage</x:v>
      </x:c>
      <x:c r="AC26" s="12" t="str">
        <x:v>Débutant à confirmé</x:v>
      </x:c>
      <x:c r="AD26" s="12" t="str"/>
      <x:c r="AE26" s="38" t="str"/>
      <x:c r="AF26" s="40" t="str"/>
      <x:c r="AG26" s="12" t="str">
        <x:v>À rechercher</x:v>
      </x:c>
      <x:c r="AH26" s="12" t="str"/>
      <x:c r="AI26" s="12" t="str">
        <x:v>Vérifier charge max et fixations.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Pull-Up &amp; Dip Bar</x:v>
      </x:c>
      <x:c r="F27" s="12" t="str">
        <x:v>Pullup &amp; Dip</x:v>
      </x:c>
      <x:c r="G27" s="12" t="str"/>
      <x:c r="H27" s="12" t="str"/>
      <x:c r="I27" s="12" t="str"/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str"/>
      <x:c r="P27" s="12" t="str"/>
      <x:c r="Q27" s="12" t="str"/>
      <x:c r="R27" s="12" t="str"/>
      <x:c r="S27" s="12" t="str"/>
      <x:c r="T27" s="12" t="str"/>
      <x:c r="U27" s="12" t="str">
        <x:f>IF(COUNTA(O27:T27)=0,"",SUM(O27:T27))</x:f>
      </x:c>
      <x:c r="V27" s="12" t="str">
        <x:f>IF(U27="","",IF(U27&gt;=95,"Exceptionnel",IF(U27&gt;=90,"Excellent",IF(U27&gt;=85,"Très bon",IF(U27&gt;=80,"Bon",IF(U27&gt;=70,"Correct","À revoir"))))))</x:f>
      </x:c>
      <x:c r="W27" s="12" t="str"/>
      <x:c r="X27" s="12" t="str">
        <x:v>Oui</x:v>
      </x:c>
      <x:c r="Y27" s="12" t="str">
        <x:v>Oui</x:v>
      </x:c>
      <x:c r="Z27" s="12" t="str">
        <x:v>Solution premium pour calisthénie et usage intensif.</x:v>
      </x:c>
      <x:c r="AA27" s="12" t="str">
        <x:v>Finition | Polyvalence | Stabilité</x:v>
      </x:c>
      <x:c r="AB27" s="12" t="str">
        <x:v>Prix élevé</x:v>
      </x:c>
      <x:c r="AC27" s="12" t="str">
        <x:v>Calisthénie / confirmé</x:v>
      </x:c>
      <x:c r="AD27" s="12" t="str"/>
      <x:c r="AE27" s="38" t="str"/>
      <x:c r="AF27" s="40" t="str"/>
      <x:c r="AG27" s="12" t="str">
        <x:v>À rechercher</x:v>
      </x:c>
      <x:c r="AH27" s="12" t="str"/>
      <x:c r="AI27" s="12" t="str">
        <x:v>Identifier modèle mural ou extérieur exact.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 t="str">
        <x:f>IF(OR(H31="",J31=""),"", "https://www.amazon.fr/dp/"&amp;H31&amp;"?tag="&amp;J31)</x:f>
      </x:c>
      <x:c r="L31" s="12"/>
      <x:c r="M31" s="36"/>
      <x:c r="N31" s="12"/>
      <x:c r="O31" s="12"/>
      <x:c r="P31" s="12"/>
      <x:c r="Q31" s="12"/>
      <x:c r="R31" s="12"/>
      <x:c r="S31" s="12"/>
      <x:c r="T31" s="12"/>
      <x:c r="U31" s="12" t="str">
        <x:f>IF(COUNTA(O31:T31)=0,"",SUM(O31:T31))</x:f>
      </x:c>
      <x:c r="V31" s="12" t="str">
        <x:f>IF(U31="","",IF(U31&gt;=95,"Exceptionnel",IF(U31&gt;=90,"Excellent",IF(U31&gt;=85,"Très bon",IF(U31&gt;=80,"Bon",IF(U31&gt;=70,"Correct","À revoir"))))))</x:f>
      </x:c>
      <x:c r="W31" s="12"/>
      <x:c r="X31" s="12"/>
      <x:c r="Y31" s="12"/>
      <x:c r="Z31" s="12"/>
      <x:c r="AA31" s="12"/>
      <x:c r="AB31" s="12"/>
      <x:c r="AC31" s="12"/>
      <x:c r="AD31" s="12"/>
      <x:c r="AE31" s="38"/>
      <x:c r="AF31" s="40"/>
      <x:c r="AG31" s="12"/>
      <x:c r="AH31" s="12"/>
      <x:c r="AI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 t="str">
        <x:f>IF(OR(H32="",J32=""),"", "https://www.amazon.fr/dp/"&amp;H32&amp;"?tag="&amp;J32)</x:f>
      </x:c>
      <x:c r="L32" s="12"/>
      <x:c r="M32" s="36"/>
      <x:c r="N32" s="12"/>
      <x:c r="O32" s="12"/>
      <x:c r="P32" s="12"/>
      <x:c r="Q32" s="12"/>
      <x:c r="R32" s="12"/>
      <x:c r="S32" s="12"/>
      <x:c r="T32" s="12"/>
      <x:c r="U32" s="12" t="str">
        <x:f>IF(COUNTA(O32:T32)=0,"",SUM(O32:T32))</x:f>
      </x:c>
      <x:c r="V32" s="12" t="str">
        <x:f>IF(U32="","",IF(U32&gt;=95,"Exceptionnel",IF(U32&gt;=90,"Excellent",IF(U32&gt;=85,"Très bon",IF(U32&gt;=80,"Bon",IF(U32&gt;=70,"Correct","À revoir"))))))</x:f>
      </x:c>
      <x:c r="W32" s="12"/>
      <x:c r="X32" s="12"/>
      <x:c r="Y32" s="12"/>
      <x:c r="Z32" s="12"/>
      <x:c r="AA32" s="12"/>
      <x:c r="AB32" s="12"/>
      <x:c r="AC32" s="12"/>
      <x:c r="AD32" s="12"/>
      <x:c r="AE32" s="38"/>
      <x:c r="AF32" s="40"/>
      <x:c r="AG32" s="12"/>
      <x:c r="AH32" s="12"/>
      <x:c r="AI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 t="str">
        <x:f>IF(OR(H33="",J33=""),"", "https://www.amazon.fr/dp/"&amp;H33&amp;"?tag="&amp;J33)</x:f>
      </x:c>
      <x:c r="L33" s="12"/>
      <x:c r="M33" s="36"/>
      <x:c r="N33" s="12"/>
      <x:c r="O33" s="12"/>
      <x:c r="P33" s="12"/>
      <x:c r="Q33" s="12"/>
      <x:c r="R33" s="12"/>
      <x:c r="S33" s="12"/>
      <x:c r="T33" s="12"/>
      <x:c r="U33" s="12" t="str">
        <x:f>IF(COUNTA(O33:T33)=0,"",SUM(O33:T33))</x:f>
      </x:c>
      <x:c r="V33" s="12" t="str">
        <x:f>IF(U33="","",IF(U33&gt;=95,"Exceptionnel",IF(U33&gt;=90,"Excellent",IF(U33&gt;=85,"Très bon",IF(U33&gt;=80,"Bon",IF(U33&gt;=70,"Correct","À revoir"))))))</x:f>
      </x:c>
      <x:c r="W33" s="12"/>
      <x:c r="X33" s="12"/>
      <x:c r="Y33" s="12"/>
      <x:c r="Z33" s="12"/>
      <x:c r="AA33" s="12"/>
      <x:c r="AB33" s="12"/>
      <x:c r="AC33" s="12"/>
      <x:c r="AD33" s="12"/>
      <x:c r="AE33" s="38"/>
      <x:c r="AF33" s="40"/>
      <x:c r="AG33" s="12"/>
      <x:c r="AH33" s="12"/>
      <x:c r="AI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 t="str">
        <x:f>IF(OR(H34="",J34=""),"", "https://www.amazon.fr/dp/"&amp;H34&amp;"?tag="&amp;J34)</x:f>
      </x:c>
      <x:c r="L34" s="12"/>
      <x:c r="M34" s="36"/>
      <x:c r="N34" s="12"/>
      <x:c r="O34" s="12"/>
      <x:c r="P34" s="12"/>
      <x:c r="Q34" s="12"/>
      <x:c r="R34" s="12"/>
      <x:c r="S34" s="12"/>
      <x:c r="T34" s="12"/>
      <x:c r="U34" s="12" t="str">
        <x:f>IF(COUNTA(O34:T34)=0,"",SUM(O34:T34))</x:f>
      </x:c>
      <x:c r="V34" s="12" t="str">
        <x:f>IF(U34="","",IF(U34&gt;=95,"Exceptionnel",IF(U34&gt;=90,"Excellent",IF(U34&gt;=85,"Très bon",IF(U34&gt;=80,"Bon",IF(U34&gt;=70,"Correct","À revoir"))))))</x:f>
      </x:c>
      <x:c r="W34" s="12"/>
      <x:c r="X34" s="12"/>
      <x:c r="Y34" s="12"/>
      <x:c r="Z34" s="12"/>
      <x:c r="AA34" s="12"/>
      <x:c r="AB34" s="12"/>
      <x:c r="AC34" s="12"/>
      <x:c r="AD34" s="12"/>
      <x:c r="AE34" s="38"/>
      <x:c r="AF34" s="40"/>
      <x:c r="AG34" s="12"/>
      <x:c r="AH34" s="12"/>
      <x:c r="AI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 t="str">
        <x:f>IF(OR(H35="",J35=""),"", "https://www.amazon.fr/dp/"&amp;H35&amp;"?tag="&amp;J35)</x:f>
      </x:c>
      <x:c r="L35" s="12"/>
      <x:c r="M35" s="36"/>
      <x:c r="N35" s="12"/>
      <x:c r="O35" s="12"/>
      <x:c r="P35" s="12"/>
      <x:c r="Q35" s="12"/>
      <x:c r="R35" s="12"/>
      <x:c r="S35" s="12"/>
      <x:c r="T35" s="12"/>
      <x:c r="U35" s="12" t="str">
        <x:f>IF(COUNTA(O35:T35)=0,"",SUM(O35:T35))</x:f>
      </x:c>
      <x:c r="V35" s="12" t="str">
        <x:f>IF(U35="","",IF(U35&gt;=95,"Exceptionnel",IF(U35&gt;=90,"Excellent",IF(U35&gt;=85,"Très bon",IF(U35&gt;=80,"Bon",IF(U35&gt;=70,"Correct","À revoir"))))))</x:f>
      </x:c>
      <x:c r="W35" s="12"/>
      <x:c r="X35" s="12"/>
      <x:c r="Y35" s="12"/>
      <x:c r="Z35" s="12"/>
      <x:c r="AA35" s="12"/>
      <x:c r="AB35" s="12"/>
      <x:c r="AC35" s="12"/>
      <x:c r="AD35" s="12"/>
      <x:c r="AE35" s="38"/>
      <x:c r="AF35" s="40"/>
      <x:c r="AG35" s="12"/>
      <x:c r="AH35" s="12"/>
      <x:c r="AI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 t="str">
        <x:f>IF(OR(H36="",J36=""),"", "https://www.amazon.fr/dp/"&amp;H36&amp;"?tag="&amp;J36)</x:f>
      </x:c>
      <x:c r="L36" s="12"/>
      <x:c r="M36" s="36"/>
      <x:c r="N36" s="12"/>
      <x:c r="O36" s="12"/>
      <x:c r="P36" s="12"/>
      <x:c r="Q36" s="12"/>
      <x:c r="R36" s="12"/>
      <x:c r="S36" s="12"/>
      <x:c r="T36" s="12"/>
      <x:c r="U36" s="12" t="str">
        <x:f>IF(COUNTA(O36:T36)=0,"",SUM(O36:T36))</x:f>
      </x:c>
      <x:c r="V36" s="12" t="str">
        <x:f>IF(U36="","",IF(U36&gt;=95,"Exceptionnel",IF(U36&gt;=90,"Excellent",IF(U36&gt;=85,"Très bon",IF(U36&gt;=80,"Bon",IF(U36&gt;=70,"Correct","À revoir"))))))</x:f>
      </x:c>
      <x:c r="W36" s="12"/>
      <x:c r="X36" s="12"/>
      <x:c r="Y36" s="12"/>
      <x:c r="Z36" s="12"/>
      <x:c r="AA36" s="12"/>
      <x:c r="AB36" s="12"/>
      <x:c r="AC36" s="12"/>
      <x:c r="AD36" s="12"/>
      <x:c r="AE36" s="38"/>
      <x:c r="AF36" s="40"/>
      <x:c r="AG36" s="12"/>
      <x:c r="AH36" s="12"/>
      <x:c r="AI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 t="str">
        <x:f>IF(OR(H37="",J37=""),"", "https://www.amazon.fr/dp/"&amp;H37&amp;"?tag="&amp;J37)</x:f>
      </x:c>
      <x:c r="L37" s="12"/>
      <x:c r="M37" s="36"/>
      <x:c r="N37" s="12"/>
      <x:c r="O37" s="12"/>
      <x:c r="P37" s="12"/>
      <x:c r="Q37" s="12"/>
      <x:c r="R37" s="12"/>
      <x:c r="S37" s="12"/>
      <x:c r="T37" s="12"/>
      <x:c r="U37" s="12" t="str">
        <x:f>IF(COUNTA(O37:T37)=0,"",SUM(O37:T37))</x:f>
      </x:c>
      <x:c r="V37" s="12" t="str">
        <x:f>IF(U37="","",IF(U37&gt;=95,"Exceptionnel",IF(U37&gt;=90,"Excellent",IF(U37&gt;=85,"Très bon",IF(U37&gt;=80,"Bon",IF(U37&gt;=70,"Correct","À revoir"))))))</x:f>
      </x:c>
      <x:c r="W37" s="12"/>
      <x:c r="X37" s="12"/>
      <x:c r="Y37" s="12"/>
      <x:c r="Z37" s="12"/>
      <x:c r="AA37" s="12"/>
      <x:c r="AB37" s="12"/>
      <x:c r="AC37" s="12"/>
      <x:c r="AD37" s="12"/>
      <x:c r="AE37" s="38"/>
      <x:c r="AF37" s="40"/>
      <x:c r="AG37" s="12"/>
      <x:c r="AH37" s="12"/>
      <x:c r="AI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 t="str">
        <x:f>IF(OR(H38="",J38=""),"", "https://www.amazon.fr/dp/"&amp;H38&amp;"?tag="&amp;J38)</x:f>
      </x:c>
      <x:c r="L38" s="12"/>
      <x:c r="M38" s="36"/>
      <x:c r="N38" s="12"/>
      <x:c r="O38" s="12"/>
      <x:c r="P38" s="12"/>
      <x:c r="Q38" s="12"/>
      <x:c r="R38" s="12"/>
      <x:c r="S38" s="12"/>
      <x:c r="T38" s="12"/>
      <x:c r="U38" s="12" t="str">
        <x:f>IF(COUNTA(O38:T38)=0,"",SUM(O38:T38))</x:f>
      </x:c>
      <x:c r="V38" s="12" t="str">
        <x:f>IF(U38="","",IF(U38&gt;=95,"Exceptionnel",IF(U38&gt;=90,"Excellent",IF(U38&gt;=85,"Très bon",IF(U38&gt;=80,"Bon",IF(U38&gt;=70,"Correct","À revoir"))))))</x:f>
      </x:c>
      <x:c r="W38" s="12"/>
      <x:c r="X38" s="12"/>
      <x:c r="Y38" s="12"/>
      <x:c r="Z38" s="12"/>
      <x:c r="AA38" s="12"/>
      <x:c r="AB38" s="12"/>
      <x:c r="AC38" s="12"/>
      <x:c r="AD38" s="12"/>
      <x:c r="AE38" s="38"/>
      <x:c r="AF38" s="40"/>
      <x:c r="AG38" s="12"/>
      <x:c r="AH38" s="12"/>
      <x:c r="AI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 t="str">
        <x:f>IF(OR(H39="",J39=""),"", "https://www.amazon.fr/dp/"&amp;H39&amp;"?tag="&amp;J39)</x:f>
      </x:c>
      <x:c r="L39" s="12"/>
      <x:c r="M39" s="36"/>
      <x:c r="N39" s="12"/>
      <x:c r="O39" s="12"/>
      <x:c r="P39" s="12"/>
      <x:c r="Q39" s="12"/>
      <x:c r="R39" s="12"/>
      <x:c r="S39" s="12"/>
      <x:c r="T39" s="12"/>
      <x:c r="U39" s="12" t="str">
        <x:f>IF(COUNTA(O39:T39)=0,"",SUM(O39:T39))</x:f>
      </x:c>
      <x:c r="V39" s="12" t="str">
        <x:f>IF(U39="","",IF(U39&gt;=95,"Exceptionnel",IF(U39&gt;=90,"Excellent",IF(U39&gt;=85,"Très bon",IF(U39&gt;=80,"Bon",IF(U39&gt;=70,"Correct","À revoir"))))))</x:f>
      </x:c>
      <x:c r="W39" s="12"/>
      <x:c r="X39" s="12"/>
      <x:c r="Y39" s="12"/>
      <x:c r="Z39" s="12"/>
      <x:c r="AA39" s="12"/>
      <x:c r="AB39" s="12"/>
      <x:c r="AC39" s="12"/>
      <x:c r="AD39" s="12"/>
      <x:c r="AE39" s="38"/>
      <x:c r="AF39" s="40"/>
      <x:c r="AG39" s="12"/>
      <x:c r="AH39" s="12"/>
      <x:c r="AI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 t="str">
        <x:f>IF(OR(H40="",J40=""),"", "https://www.amazon.fr/dp/"&amp;H40&amp;"?tag="&amp;J40)</x:f>
      </x:c>
      <x:c r="L40" s="12"/>
      <x:c r="M40" s="36"/>
      <x:c r="N40" s="12"/>
      <x:c r="O40" s="12"/>
      <x:c r="P40" s="12"/>
      <x:c r="Q40" s="12"/>
      <x:c r="R40" s="12"/>
      <x:c r="S40" s="12"/>
      <x:c r="T40" s="12"/>
      <x:c r="U40" s="12" t="str">
        <x:f>IF(COUNTA(O40:T40)=0,"",SUM(O40:T40))</x:f>
      </x:c>
      <x:c r="V40" s="12" t="str">
        <x:f>IF(U40="","",IF(U40&gt;=95,"Exceptionnel",IF(U40&gt;=90,"Excellent",IF(U40&gt;=85,"Très bon",IF(U40&gt;=80,"Bon",IF(U40&gt;=70,"Correct","À revoir"))))))</x:f>
      </x:c>
      <x:c r="W40" s="12"/>
      <x:c r="X40" s="12"/>
      <x:c r="Y40" s="12"/>
      <x:c r="Z40" s="12"/>
      <x:c r="AA40" s="12"/>
      <x:c r="AB40" s="12"/>
      <x:c r="AC40" s="12"/>
      <x:c r="AD40" s="12"/>
      <x:c r="AE40" s="38"/>
      <x:c r="AF40" s="40"/>
      <x:c r="AG40" s="12"/>
      <x:c r="AH40" s="12"/>
      <x:c r="AI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 t="str">
        <x:f>IF(OR(H41="",J41=""),"", "https://www.amazon.fr/dp/"&amp;H41&amp;"?tag="&amp;J41)</x:f>
      </x:c>
      <x:c r="L41" s="12"/>
      <x:c r="M41" s="36"/>
      <x:c r="N41" s="12"/>
      <x:c r="O41" s="12"/>
      <x:c r="P41" s="12"/>
      <x:c r="Q41" s="12"/>
      <x:c r="R41" s="12"/>
      <x:c r="S41" s="12"/>
      <x:c r="T41" s="12"/>
      <x:c r="U41" s="12" t="str">
        <x:f>IF(COUNTA(O41:T41)=0,"",SUM(O41:T41))</x:f>
      </x:c>
      <x:c r="V41" s="12" t="str">
        <x:f>IF(U41="","",IF(U41&gt;=95,"Exceptionnel",IF(U41&gt;=90,"Excellent",IF(U41&gt;=85,"Très bon",IF(U41&gt;=80,"Bon",IF(U41&gt;=70,"Correct","À revoir"))))))</x:f>
      </x:c>
      <x:c r="W41" s="12"/>
      <x:c r="X41" s="12"/>
      <x:c r="Y41" s="12"/>
      <x:c r="Z41" s="12"/>
      <x:c r="AA41" s="12"/>
      <x:c r="AB41" s="12"/>
      <x:c r="AC41" s="12"/>
      <x:c r="AD41" s="12"/>
      <x:c r="AE41" s="38"/>
      <x:c r="AF41" s="40"/>
      <x:c r="AG41" s="12"/>
      <x:c r="AH41" s="12"/>
      <x:c r="AI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 t="str">
        <x:f>IF(OR(H42="",J42=""),"", "https://www.amazon.fr/dp/"&amp;H42&amp;"?tag="&amp;J42)</x:f>
      </x:c>
      <x:c r="L42" s="12"/>
      <x:c r="M42" s="36"/>
      <x:c r="N42" s="12"/>
      <x:c r="O42" s="12"/>
      <x:c r="P42" s="12"/>
      <x:c r="Q42" s="12"/>
      <x:c r="R42" s="12"/>
      <x:c r="S42" s="12"/>
      <x:c r="T42" s="12"/>
      <x:c r="U42" s="12" t="str">
        <x:f>IF(COUNTA(O42:T42)=0,"",SUM(O42:T42))</x:f>
      </x:c>
      <x:c r="V42" s="12" t="str">
        <x:f>IF(U42="","",IF(U42&gt;=95,"Exceptionnel",IF(U42&gt;=90,"Excellent",IF(U42&gt;=85,"Très bon",IF(U42&gt;=80,"Bon",IF(U42&gt;=70,"Correct","À revoir"))))))</x:f>
      </x:c>
      <x:c r="W42" s="12"/>
      <x:c r="X42" s="12"/>
      <x:c r="Y42" s="12"/>
      <x:c r="Z42" s="12"/>
      <x:c r="AA42" s="12"/>
      <x:c r="AB42" s="12"/>
      <x:c r="AC42" s="12"/>
      <x:c r="AD42" s="12"/>
      <x:c r="AE42" s="38"/>
      <x:c r="AF42" s="40"/>
      <x:c r="AG42" s="12"/>
      <x:c r="AH42" s="12"/>
      <x:c r="AI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ab47c45491a460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Vivoactive 5</x:v>
      </x:c>
      <x:c r="F16" s="12" t="str">
        <x:f>Produits!F16</x:f>
        <x:v>Garmin</x:v>
      </x:c>
      <x:c r="G16" s="12" t="n">
        <x:f>Produits!H16</x:f>
        <x:v>0</x:v>
      </x:c>
      <x:c r="H16" s="12" t="n">
        <x:f>Produits!I16</x:f>
        <x:v>0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0</x:v>
      </x:c>
      <x:c r="L16" s="12" t="str">
        <x:f>Produits!V16</x:f>
      </x:c>
      <x:c r="M16" s="12" t="str">
        <x:f>Produits!Z16</x:f>
        <x:v>Montre polyvalente pour fitness, santé et cardio.</x:v>
      </x:c>
      <x:c r="N16" s="12" t="str">
        <x:f>Produits!AA16</x:f>
        <x:v>Autonomie | Suivi complet | Marque reconnue</x:v>
      </x:c>
      <x:c r="O16" s="12" t="str">
        <x:f>Produits!AB16</x:f>
        <x:v>Pas la plus avancée en sport outdoor</x:v>
      </x:c>
      <x:c r="P16" s="12" t="str">
        <x:f>Produits!AC16</x:f>
        <x:v>Fitness général</x:v>
      </x:c>
      <x:c r="Q16" s="12" t="str">
        <x:f>Produits!AG16</x:f>
        <x:v>À rechercher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Balance</x:v>
      </x:c>
      <x:c r="F17" s="12" t="str">
        <x:f>Produits!F17</x:f>
        <x:v>Amazfit</x:v>
      </x:c>
      <x:c r="G17" s="12" t="n">
        <x:f>Produits!H17</x:f>
        <x:v>0</x:v>
      </x:c>
      <x:c r="H17" s="12" t="n">
        <x:f>Produits!I17</x:f>
        <x:v>0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0</x:v>
      </x:c>
      <x:c r="L17" s="12" t="n">
        <x:f>Produits!V17</x:f>
        <x:v>0</x:v>
      </x:c>
      <x:c r="M17" s="12" t="str">
        <x:f>Produits!Z17</x:f>
        <x:v>Montre riche en fonctions à prix compétitif.</x:v>
      </x:c>
      <x:c r="N17" s="12" t="str">
        <x:f>Produits!AA17</x:f>
        <x:v>Écran | Autonomie | Fonctions</x:v>
      </x:c>
      <x:c r="O17" s="12" t="str">
        <x:f>Produits!AB17</x:f>
        <x:v>Écosystème moins mature que Garmin</x:v>
      </x:c>
      <x:c r="P17" s="12" t="str">
        <x:f>Produits!AC17</x:f>
        <x:v>Débutant / intermédiaire</x:v>
      </x:c>
      <x:c r="Q17" s="12" t="str">
        <x:f>Produits!AG17</x:f>
        <x:v>À rechercher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Fenix 8</x:v>
      </x:c>
      <x:c r="F18" s="12" t="str">
        <x:f>Produits!F18</x:f>
        <x:v>Garmin</x:v>
      </x:c>
      <x:c r="G18" s="12" t="n">
        <x:f>Produits!H18</x:f>
        <x:v>0</x:v>
      </x:c>
      <x:c r="H18" s="12" t="n">
        <x:f>Produits!I18</x:f>
        <x:v>0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0</x:v>
      </x:c>
      <x:c r="L18" s="12" t="str">
        <x:f>Produits!V18</x:f>
      </x:c>
      <x:c r="M18" s="12" t="str">
        <x:f>Produits!Z18</x:f>
        <x:v>Montre multisport premium pour utilisateurs exigeants.</x:v>
      </x:c>
      <x:c r="N18" s="12" t="str">
        <x:f>Produits!AA18</x:f>
        <x:v>Robustesse | Cartographie | Fonctions avancées</x:v>
      </x:c>
      <x:c r="O18" s="12" t="str">
        <x:f>Produits!AB18</x:f>
        <x:v>Prix très élevé | Surdimensionnée pour certains</x:v>
      </x:c>
      <x:c r="P18" s="12" t="str">
        <x:f>Produits!AC18</x:f>
        <x:v>Sportif confirmé</x:v>
      </x:c>
      <x:c r="Q18" s="12" t="str">
        <x:f>Produits!AG18</x:f>
        <x:v>À rechercher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CITYSPORTS Tapis de course pliable 12 km/h</x:v>
      </x:c>
      <x:c r="F19" s="12" t="str">
        <x:f>Produits!F19</x:f>
        <x:v>CITYSPORTS</x:v>
      </x:c>
      <x:c r="G19" s="12" t="str">
        <x:f>Produits!H19</x:f>
        <x:v>B0C6KTPFGB</x:v>
      </x:c>
      <x:c r="H19" s="12" t="str">
        <x:f>Produits!I19</x:f>
        <x:v>https://www.amazon.fr/dp/B0C6KTPFGB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91</x:v>
      </x:c>
      <x:c r="L19" s="12" t="str">
        <x:f>Produits!V19</x:f>
        <x:v>Excellent</x:v>
      </x:c>
      <x:c r="M19" s="12" t="str">
        <x:f>Produits!Z19</x:f>
        <x:v>Un tapis de course pliable polyvalent et très populaire, adapté à la marche, au jogging et à la course légère à domicile.</x:v>
      </x:c>
      <x:c r="N19" s="12" t="str">
        <x:f>Produits!AA19</x:f>
        <x:v>Jusqu’à 12 km/h | 4,4/5 sur plus de 4 700 évaluations | Bluetooth et application | Support tablette | Pliable et prêt à l’emploi</x:v>
      </x:c>
      <x:c r="O19" s="12" t="str">
        <x:f>Produits!AB19</x:f>
        <x:v>Surface de course compacte | Moins adapté aux grandes foulées | Capacité limitée pour un entraînement intensif</x:v>
      </x:c>
      <x:c r="P19" s="12" t="str">
        <x:f>Produits!AC19</x:f>
        <x:v>Débutant à intermédiaire recherchant un tapis compact et polyvalent</x:v>
      </x:c>
      <x:c r="Q19" s="12" t="str">
        <x:f>Produits!AG19</x:f>
        <x:v>Validé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FITFIU Fitness MC-160</x:v>
      </x:c>
      <x:c r="F20" s="12" t="str">
        <x:f>Produits!F20</x:f>
        <x:v>FITFIU Fitness</x:v>
      </x:c>
      <x:c r="G20" s="12" t="str">
        <x:f>Produits!H20</x:f>
        <x:v>B0846FFY27</x:v>
      </x:c>
      <x:c r="H20" s="12" t="str">
        <x:f>Produits!I20</x:f>
        <x:v>https://www.amazon.fr/dp/B0846FFY27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86</x:v>
      </x:c>
      <x:c r="L20" s="12" t="str">
        <x:f>Produits!V20</x:f>
        <x:v>Très bon</x:v>
      </x:c>
      <x:c r="M20" s="12" t="str">
        <x:f>Produits!Z20</x:f>
        <x:v>Un modèle accessible et complet pour commencer à courir chez soi, avec inclinaison, programmes et applications connectées.</x:v>
      </x:c>
      <x:c r="N20" s="12" t="str">
        <x:f>Produits!AA20</x:f>
        <x:v>Bon rapport qualité/prix | Jusqu’à 14 km/h | Inclinaison 9 % | 12 programmes | Compatible Kinomap et Zwift</x:v>
      </x:c>
      <x:c r="O20" s="12" t="str">
        <x:f>Produits!AB20</x:f>
        <x:v>Surface de course assez courte | Inclinaison manuelle | Moins confortable pour les grands gabarits</x:v>
      </x:c>
      <x:c r="P20" s="12" t="str">
        <x:f>Produits!AC20</x:f>
        <x:v>Débutant ou intermédiaire souhaitant progresser avec un budget maîtrisé</x:v>
      </x:c>
      <x:c r="Q20" s="12" t="str">
        <x:f>Produits!AG20</x:f>
        <x:v>Validé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Sportstech F31s</x:v>
      </x:c>
      <x:c r="F21" s="12" t="str">
        <x:f>Produits!F21</x:f>
        <x:v>Sportstech</x:v>
      </x:c>
      <x:c r="G21" s="12" t="str">
        <x:f>Produits!H21</x:f>
        <x:v>B0733BSRCV</x:v>
      </x:c>
      <x:c r="H21" s="12" t="str">
        <x:f>Produits!I21</x:f>
        <x:v>https://www.amazon.fr/dp/B0733BSRCV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90</x:v>
      </x:c>
      <x:c r="L21" s="12" t="str">
        <x:f>Produits!V21</x:f>
        <x:v>Excellent</x:v>
      </x:c>
      <x:c r="M21" s="12" t="str">
        <x:f>Produits!Z21</x:f>
        <x:v>Un tapis robuste et mieux équipé pour les séances régulières, avec une vitesse plus élevée, une forte inclinaison et de nombreux programmes.</x:v>
      </x:c>
      <x:c r="N21" s="12" t="str">
        <x:f>Produits!AA21</x:f>
        <x:v>Jusqu’à 16 km/h | Inclinaison jusqu’à 15 % | 20 programmes | Construction robuste | Pliable et autolubrifié</x:v>
      </x:c>
      <x:c r="O21" s="12" t="str">
        <x:f>Produits!AB21</x:f>
        <x:v>Plus lourd et encombrant | Prix supérieur | Surface encore limitée pour la course très rapide</x:v>
      </x:c>
      <x:c r="P21" s="12" t="str">
        <x:f>Produits!AC21</x:f>
        <x:v>Intermédiaire à confirmé recherchant un appareil plus performant</x:v>
      </x:c>
      <x:c r="Q21" s="12" t="str">
        <x:f>Produits!AG21</x:f>
        <x:v>Validé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n">
        <x:f>Produits!U24</x:f>
        <x:v>0</x:v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KS300</x:v>
      </x:c>
      <x:c r="F25" s="12" t="str">
        <x:f>Produits!F25</x:f>
        <x:v>Sportstech</x:v>
      </x:c>
      <x:c r="G25" s="12" t="n">
        <x:f>Produits!H25</x:f>
        <x:v>0</x:v>
      </x:c>
      <x:c r="H25" s="12" t="n">
        <x:f>Produits!I25</x:f>
        <x:v>0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0</x:v>
      </x:c>
      <x:c r="L25" s="12" t="str">
        <x:f>Produits!V25</x:f>
      </x:c>
      <x:c r="M25" s="12" t="str">
        <x:f>Produits!Z25</x:f>
        <x:v>Barre polyvalente pour entraînement du haut du corps.</x:v>
      </x:c>
      <x:c r="N25" s="12" t="str">
        <x:f>Produits!AA25</x:f>
        <x:v>Multiprises | Polyvalence | Marque connue</x:v>
      </x:c>
      <x:c r="O25" s="12" t="str">
        <x:f>Produits!AB25</x:f>
        <x:v>Compatibilité porte à vérifier</x:v>
      </x:c>
      <x:c r="P25" s="12" t="str">
        <x:f>Produits!AC25</x:f>
        <x:v>Home gym</x:v>
      </x:c>
      <x:c r="Q25" s="12" t="str">
        <x:f>Produits!AG25</x:f>
        <x:v>À rechercher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Wall Mounted Pull-Up Bar</x:v>
      </x:c>
      <x:c r="F26" s="12" t="str">
        <x:f>Produits!F26</x:f>
        <x:v>ONETWOFIT</x:v>
      </x:c>
      <x:c r="G26" s="12" t="n">
        <x:f>Produits!H26</x:f>
        <x:v>0</x:v>
      </x:c>
      <x:c r="H26" s="12" t="n">
        <x:f>Produits!I26</x:f>
        <x:v>0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0</x:v>
      </x:c>
      <x:c r="L26" s="12" t="n">
        <x:f>Produits!V26</x:f>
        <x:v>0</x:v>
      </x:c>
      <x:c r="M26" s="12" t="str">
        <x:f>Produits!Z26</x:f>
        <x:v>Barre murale robuste à prix compétitif.</x:v>
      </x:c>
      <x:c r="N26" s="12" t="str">
        <x:f>Produits!AA26</x:f>
        <x:v>Stabilité | Multiprises | Prix</x:v>
      </x:c>
      <x:c r="O26" s="12" t="str">
        <x:f>Produits!AB26</x:f>
        <x:v>Installation avec perçage</x:v>
      </x:c>
      <x:c r="P26" s="12" t="str">
        <x:f>Produits!AC26</x:f>
        <x:v>Débutant à confirmé</x:v>
      </x:c>
      <x:c r="Q26" s="12" t="str">
        <x:f>Produits!AG26</x:f>
        <x:v>À rechercher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Pull-Up &amp; Dip Bar</x:v>
      </x:c>
      <x:c r="F27" s="12" t="str">
        <x:f>Produits!F27</x:f>
        <x:v>Pullup &amp; Dip</x:v>
      </x:c>
      <x:c r="G27" s="12" t="n">
        <x:f>Produits!H27</x:f>
        <x:v>0</x:v>
      </x:c>
      <x:c r="H27" s="12" t="n">
        <x:f>Produits!I27</x:f>
        <x:v>0</x:v>
      </x:c>
      <x:c r="I27" s="12" t="n">
        <x:f>Produits!K27</x:f>
        <x:v>0</x:v>
      </x:c>
      <x:c r="J27" s="12" t="n">
        <x:f>Produits!L27</x:f>
        <x:v>0</x:v>
      </x:c>
      <x:c r="K27" s="12" t="str">
        <x:f>Produits!U27</x:f>
      </x:c>
      <x:c r="L27" s="12" t="str">
        <x:f>Produits!V27</x:f>
      </x:c>
      <x:c r="M27" s="12" t="str">
        <x:f>Produits!Z27</x:f>
        <x:v>Solution premium pour calisthénie et usage intensif.</x:v>
      </x:c>
      <x:c r="N27" s="12" t="str">
        <x:f>Produits!AA27</x:f>
        <x:v>Finition | Polyvalence | Stabilité</x:v>
      </x:c>
      <x:c r="O27" s="12" t="str">
        <x:f>Produits!AB27</x:f>
        <x:v>Prix élevé</x:v>
      </x:c>
      <x:c r="P27" s="12" t="str">
        <x:f>Produits!AC27</x:f>
        <x:v>Calisthénie / confirmé</x:v>
      </x:c>
      <x:c r="Q27" s="12" t="str">
        <x:f>Produits!AG27</x:f>
        <x:v>À rechercher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n">
        <x:f>Produits!A31</x:f>
        <x:v>0</x:v>
      </x:c>
      <x:c r="B31" s="12" t="n">
        <x:f>Produits!B31</x:f>
        <x:v>0</x:v>
      </x:c>
      <x:c r="C31" s="12" t="n">
        <x:f>Produits!C31</x:f>
        <x:v>0</x:v>
      </x:c>
      <x:c r="D31" s="12" t="n">
        <x:f>Produits!D31</x:f>
        <x:v>0</x:v>
      </x:c>
      <x:c r="E31" s="12" t="n">
        <x:f>Produits!E31</x:f>
        <x:v>0</x:v>
      </x:c>
      <x:c r="F31" s="12" t="n">
        <x:f>Produits!F31</x:f>
        <x:v>0</x:v>
      </x:c>
      <x:c r="G31" s="12" t="n">
        <x:f>Produits!H31</x:f>
        <x:v>0</x:v>
      </x:c>
      <x:c r="H31" s="12" t="n">
        <x:f>Produits!I31</x:f>
        <x:v>0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0</x:v>
      </x:c>
      <x:c r="L31" s="12" t="n">
        <x:f>Produits!V31</x:f>
        <x:v>0</x:v>
      </x:c>
      <x:c r="M31" s="12" t="n">
        <x:f>Produits!Z31</x:f>
        <x:v>0</x:v>
      </x:c>
      <x:c r="N31" s="12" t="n">
        <x:f>Produits!AA31</x:f>
        <x:v>0</x:v>
      </x:c>
      <x:c r="O31" s="12" t="n">
        <x:f>Produits!AB31</x:f>
        <x:v>0</x:v>
      </x:c>
      <x:c r="P31" s="12" t="n">
        <x:f>Produits!AC31</x:f>
        <x:v>0</x:v>
      </x:c>
      <x:c r="Q31" s="12" t="n">
        <x:f>Produits!AG31</x:f>
        <x:v>0</x:v>
      </x:c>
    </x:row>
    <x:row r="32">
      <x:c r="A32" s="12" t="n">
        <x:f>Produits!A32</x:f>
        <x:v>0</x:v>
      </x:c>
      <x:c r="B32" s="12" t="n">
        <x:f>Produits!B32</x:f>
        <x:v>0</x:v>
      </x:c>
      <x:c r="C32" s="12" t="n">
        <x:f>Produits!C32</x:f>
        <x:v>0</x:v>
      </x:c>
      <x:c r="D32" s="12" t="n">
        <x:f>Produits!D32</x:f>
        <x:v>0</x:v>
      </x:c>
      <x:c r="E32" s="12" t="n">
        <x:f>Produits!E32</x:f>
        <x:v>0</x:v>
      </x:c>
      <x:c r="F32" s="12" t="n">
        <x:f>Produits!F32</x:f>
        <x:v>0</x:v>
      </x:c>
      <x:c r="G32" s="12" t="n">
        <x:f>Produits!H32</x:f>
        <x:v>0</x:v>
      </x:c>
      <x:c r="H32" s="12" t="n">
        <x:f>Produits!I32</x:f>
        <x:v>0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0</x:v>
      </x:c>
      <x:c r="L32" s="12" t="n">
        <x:f>Produits!V32</x:f>
        <x:v>0</x:v>
      </x:c>
      <x:c r="M32" s="12" t="n">
        <x:f>Produits!Z32</x:f>
        <x:v>0</x:v>
      </x:c>
      <x:c r="N32" s="12" t="n">
        <x:f>Produits!AA32</x:f>
        <x:v>0</x:v>
      </x:c>
      <x:c r="O32" s="12" t="n">
        <x:f>Produits!AB32</x:f>
        <x:v>0</x:v>
      </x:c>
      <x:c r="P32" s="12" t="n">
        <x:f>Produits!AC32</x:f>
        <x:v>0</x:v>
      </x:c>
      <x:c r="Q32" s="12" t="n">
        <x:f>Produits!AG32</x:f>
        <x:v>0</x:v>
      </x:c>
    </x:row>
    <x:row r="33">
      <x:c r="A33" s="12" t="n">
        <x:f>Produits!A33</x:f>
        <x:v>0</x:v>
      </x:c>
      <x:c r="B33" s="12" t="n">
        <x:f>Produits!B33</x:f>
        <x:v>0</x:v>
      </x:c>
      <x:c r="C33" s="12" t="n">
        <x:f>Produits!C33</x:f>
        <x:v>0</x:v>
      </x:c>
      <x:c r="D33" s="12" t="n">
        <x:f>Produits!D33</x:f>
        <x:v>0</x:v>
      </x:c>
      <x:c r="E33" s="12" t="n">
        <x:f>Produits!E33</x:f>
        <x:v>0</x:v>
      </x:c>
      <x:c r="F33" s="12" t="n">
        <x:f>Produits!F33</x:f>
        <x:v>0</x:v>
      </x:c>
      <x:c r="G33" s="12" t="n">
        <x:f>Produits!H33</x:f>
        <x:v>0</x:v>
      </x:c>
      <x:c r="H33" s="12" t="n">
        <x:f>Produits!I33</x:f>
        <x:v>0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0</x:v>
      </x:c>
      <x:c r="L33" s="12" t="n">
        <x:f>Produits!V33</x:f>
        <x:v>0</x:v>
      </x:c>
      <x:c r="M33" s="12" t="n">
        <x:f>Produits!Z33</x:f>
        <x:v>0</x:v>
      </x:c>
      <x:c r="N33" s="12" t="n">
        <x:f>Produits!AA33</x:f>
        <x:v>0</x:v>
      </x:c>
      <x:c r="O33" s="12" t="n">
        <x:f>Produits!AB33</x:f>
        <x:v>0</x:v>
      </x:c>
      <x:c r="P33" s="12" t="n">
        <x:f>Produits!AC33</x:f>
        <x:v>0</x:v>
      </x:c>
      <x:c r="Q33" s="12" t="n">
        <x:f>Produits!AG33</x:f>
        <x:v>0</x:v>
      </x:c>
    </x:row>
    <x:row r="34">
      <x:c r="A34" s="12" t="n">
        <x:f>Produits!A34</x:f>
        <x:v>0</x:v>
      </x:c>
      <x:c r="B34" s="12" t="n">
        <x:f>Produits!B34</x:f>
        <x:v>0</x:v>
      </x:c>
      <x:c r="C34" s="12" t="n">
        <x:f>Produits!C34</x:f>
        <x:v>0</x:v>
      </x:c>
      <x:c r="D34" s="12" t="n">
        <x:f>Produits!D34</x:f>
        <x:v>0</x:v>
      </x:c>
      <x:c r="E34" s="12" t="n">
        <x:f>Produits!E34</x:f>
        <x:v>0</x:v>
      </x:c>
      <x:c r="F34" s="12" t="n">
        <x:f>Produits!F34</x:f>
        <x:v>0</x:v>
      </x:c>
      <x:c r="G34" s="12" t="n">
        <x:f>Produits!H34</x:f>
        <x:v>0</x:v>
      </x:c>
      <x:c r="H34" s="12" t="n">
        <x:f>Produits!I34</x:f>
        <x:v>0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0</x:v>
      </x:c>
      <x:c r="L34" s="12" t="n">
        <x:f>Produits!V34</x:f>
        <x:v>0</x:v>
      </x:c>
      <x:c r="M34" s="12" t="n">
        <x:f>Produits!Z34</x:f>
        <x:v>0</x:v>
      </x:c>
      <x:c r="N34" s="12" t="n">
        <x:f>Produits!AA34</x:f>
        <x:v>0</x:v>
      </x:c>
      <x:c r="O34" s="12" t="n">
        <x:f>Produits!AB34</x:f>
        <x:v>0</x:v>
      </x:c>
      <x:c r="P34" s="12" t="n">
        <x:f>Produits!AC34</x:f>
        <x:v>0</x:v>
      </x:c>
      <x:c r="Q34" s="12" t="n">
        <x:f>Produits!AG34</x:f>
        <x:v>0</x:v>
      </x:c>
    </x:row>
    <x:row r="35">
      <x:c r="A35" s="12" t="n">
        <x:f>Produits!A35</x:f>
        <x:v>0</x:v>
      </x:c>
      <x:c r="B35" s="12" t="n">
        <x:f>Produits!B35</x:f>
        <x:v>0</x:v>
      </x:c>
      <x:c r="C35" s="12" t="n">
        <x:f>Produits!C35</x:f>
        <x:v>0</x:v>
      </x:c>
      <x:c r="D35" s="12" t="n">
        <x:f>Produits!D35</x:f>
        <x:v>0</x:v>
      </x:c>
      <x:c r="E35" s="12" t="n">
        <x:f>Produits!E35</x:f>
        <x:v>0</x:v>
      </x:c>
      <x:c r="F35" s="12" t="n">
        <x:f>Produits!F35</x:f>
        <x:v>0</x:v>
      </x:c>
      <x:c r="G35" s="12" t="n">
        <x:f>Produits!H35</x:f>
        <x:v>0</x:v>
      </x:c>
      <x:c r="H35" s="12" t="n">
        <x:f>Produits!I35</x:f>
        <x:v>0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0</x:v>
      </x:c>
      <x:c r="L35" s="12" t="n">
        <x:f>Produits!V35</x:f>
        <x:v>0</x:v>
      </x:c>
      <x:c r="M35" s="12" t="n">
        <x:f>Produits!Z35</x:f>
        <x:v>0</x:v>
      </x:c>
      <x:c r="N35" s="12" t="n">
        <x:f>Produits!AA35</x:f>
        <x:v>0</x:v>
      </x:c>
      <x:c r="O35" s="12" t="n">
        <x:f>Produits!AB35</x:f>
        <x:v>0</x:v>
      </x:c>
      <x:c r="P35" s="12" t="n">
        <x:f>Produits!AC35</x:f>
        <x:v>0</x:v>
      </x:c>
      <x:c r="Q35" s="12" t="n">
        <x:f>Produits!AG35</x:f>
        <x:v>0</x:v>
      </x:c>
    </x:row>
    <x:row r="36">
      <x:c r="A36" s="12" t="n">
        <x:f>Produits!A36</x:f>
        <x:v>0</x:v>
      </x:c>
      <x:c r="B36" s="12" t="n">
        <x:f>Produits!B36</x:f>
        <x:v>0</x:v>
      </x:c>
      <x:c r="C36" s="12" t="n">
        <x:f>Produits!C36</x:f>
        <x:v>0</x:v>
      </x:c>
      <x:c r="D36" s="12" t="n">
        <x:f>Produits!D36</x:f>
        <x:v>0</x:v>
      </x:c>
      <x:c r="E36" s="12" t="n">
        <x:f>Produits!E36</x:f>
        <x:v>0</x:v>
      </x:c>
      <x:c r="F36" s="12" t="n">
        <x:f>Produits!F36</x:f>
        <x:v>0</x:v>
      </x:c>
      <x:c r="G36" s="12" t="n">
        <x:f>Produits!H36</x:f>
        <x:v>0</x:v>
      </x:c>
      <x:c r="H36" s="12" t="n">
        <x:f>Produits!I36</x:f>
        <x:v>0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0</x:v>
      </x:c>
      <x:c r="L36" s="12" t="n">
        <x:f>Produits!V36</x:f>
        <x:v>0</x:v>
      </x:c>
      <x:c r="M36" s="12" t="n">
        <x:f>Produits!Z36</x:f>
        <x:v>0</x:v>
      </x:c>
      <x:c r="N36" s="12" t="n">
        <x:f>Produits!AA36</x:f>
        <x:v>0</x:v>
      </x:c>
      <x:c r="O36" s="12" t="n">
        <x:f>Produits!AB36</x:f>
        <x:v>0</x:v>
      </x:c>
      <x:c r="P36" s="12" t="n">
        <x:f>Produits!AC36</x:f>
        <x:v>0</x:v>
      </x:c>
      <x:c r="Q36" s="12" t="n">
        <x:f>Produits!AG36</x:f>
        <x:v>0</x:v>
      </x:c>
    </x:row>
    <x:row r="37">
      <x:c r="A37" s="12" t="n">
        <x:f>Produits!A37</x:f>
        <x:v>0</x:v>
      </x:c>
      <x:c r="B37" s="12" t="n">
        <x:f>Produits!B37</x:f>
        <x:v>0</x:v>
      </x:c>
      <x:c r="C37" s="12" t="n">
        <x:f>Produits!C37</x:f>
        <x:v>0</x:v>
      </x:c>
      <x:c r="D37" s="12" t="n">
        <x:f>Produits!D37</x:f>
        <x:v>0</x:v>
      </x:c>
      <x:c r="E37" s="12" t="n">
        <x:f>Produits!E37</x:f>
        <x:v>0</x:v>
      </x:c>
      <x:c r="F37" s="12" t="n">
        <x:f>Produits!F37</x:f>
        <x:v>0</x:v>
      </x:c>
      <x:c r="G37" s="12" t="n">
        <x:f>Produits!H37</x:f>
        <x:v>0</x:v>
      </x:c>
      <x:c r="H37" s="12" t="n">
        <x:f>Produits!I37</x:f>
        <x:v>0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0</x:v>
      </x:c>
      <x:c r="L37" s="12" t="n">
        <x:f>Produits!V37</x:f>
        <x:v>0</x:v>
      </x:c>
      <x:c r="M37" s="12" t="n">
        <x:f>Produits!Z37</x:f>
        <x:v>0</x:v>
      </x:c>
      <x:c r="N37" s="12" t="n">
        <x:f>Produits!AA37</x:f>
        <x:v>0</x:v>
      </x:c>
      <x:c r="O37" s="12" t="n">
        <x:f>Produits!AB37</x:f>
        <x:v>0</x:v>
      </x:c>
      <x:c r="P37" s="12" t="n">
        <x:f>Produits!AC37</x:f>
        <x:v>0</x:v>
      </x:c>
      <x:c r="Q37" s="12" t="n">
        <x:f>Produits!AG37</x:f>
        <x:v>0</x:v>
      </x:c>
    </x:row>
    <x:row r="38">
      <x:c r="A38" s="12" t="n">
        <x:f>Produits!A38</x:f>
        <x:v>0</x:v>
      </x:c>
      <x:c r="B38" s="12" t="n">
        <x:f>Produits!B38</x:f>
        <x:v>0</x:v>
      </x:c>
      <x:c r="C38" s="12" t="n">
        <x:f>Produits!C38</x:f>
        <x:v>0</x:v>
      </x:c>
      <x:c r="D38" s="12" t="n">
        <x:f>Produits!D38</x:f>
        <x:v>0</x:v>
      </x:c>
      <x:c r="E38" s="12" t="n">
        <x:f>Produits!E38</x:f>
        <x:v>0</x:v>
      </x:c>
      <x:c r="F38" s="12" t="n">
        <x:f>Produits!F38</x:f>
        <x:v>0</x:v>
      </x:c>
      <x:c r="G38" s="12" t="n">
        <x:f>Produits!H38</x:f>
        <x:v>0</x:v>
      </x:c>
      <x:c r="H38" s="12" t="n">
        <x:f>Produits!I38</x:f>
        <x:v>0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0</x:v>
      </x:c>
      <x:c r="L38" s="12" t="n">
        <x:f>Produits!V38</x:f>
        <x:v>0</x:v>
      </x:c>
      <x:c r="M38" s="12" t="n">
        <x:f>Produits!Z38</x:f>
        <x:v>0</x:v>
      </x:c>
      <x:c r="N38" s="12" t="n">
        <x:f>Produits!AA38</x:f>
        <x:v>0</x:v>
      </x:c>
      <x:c r="O38" s="12" t="n">
        <x:f>Produits!AB38</x:f>
        <x:v>0</x:v>
      </x:c>
      <x:c r="P38" s="12" t="n">
        <x:f>Produits!AC38</x:f>
        <x:v>0</x:v>
      </x:c>
      <x:c r="Q38" s="12" t="n">
        <x:f>Produits!AG38</x:f>
        <x:v>0</x:v>
      </x:c>
    </x:row>
    <x:row r="39">
      <x:c r="A39" s="12" t="n">
        <x:f>Produits!A39</x:f>
        <x:v>0</x:v>
      </x:c>
      <x:c r="B39" s="12" t="n">
        <x:f>Produits!B39</x:f>
        <x:v>0</x:v>
      </x:c>
      <x:c r="C39" s="12" t="n">
        <x:f>Produits!C39</x:f>
        <x:v>0</x:v>
      </x:c>
      <x:c r="D39" s="12" t="n">
        <x:f>Produits!D39</x:f>
        <x:v>0</x:v>
      </x:c>
      <x:c r="E39" s="12" t="n">
        <x:f>Produits!E39</x:f>
        <x:v>0</x:v>
      </x:c>
      <x:c r="F39" s="12" t="n">
        <x:f>Produits!F39</x:f>
        <x:v>0</x:v>
      </x:c>
      <x:c r="G39" s="12" t="n">
        <x:f>Produits!H39</x:f>
        <x:v>0</x:v>
      </x:c>
      <x:c r="H39" s="12" t="n">
        <x:f>Produits!I39</x:f>
        <x:v>0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0</x:v>
      </x:c>
      <x:c r="L39" s="12" t="n">
        <x:f>Produits!V39</x:f>
        <x:v>0</x:v>
      </x:c>
      <x:c r="M39" s="12" t="n">
        <x:f>Produits!Z39</x:f>
        <x:v>0</x:v>
      </x:c>
      <x:c r="N39" s="12" t="n">
        <x:f>Produits!AA39</x:f>
        <x:v>0</x:v>
      </x:c>
      <x:c r="O39" s="12" t="n">
        <x:f>Produits!AB39</x:f>
        <x:v>0</x:v>
      </x:c>
      <x:c r="P39" s="12" t="n">
        <x:f>Produits!AC39</x:f>
        <x:v>0</x:v>
      </x:c>
      <x:c r="Q39" s="12" t="n">
        <x:f>Produits!AG39</x:f>
        <x:v>0</x:v>
      </x:c>
    </x:row>
    <x:row r="40">
      <x:c r="A40" s="12" t="n">
        <x:f>Produits!A40</x:f>
        <x:v>0</x:v>
      </x:c>
      <x:c r="B40" s="12" t="n">
        <x:f>Produits!B40</x:f>
        <x:v>0</x:v>
      </x:c>
      <x:c r="C40" s="12" t="n">
        <x:f>Produits!C40</x:f>
        <x:v>0</x:v>
      </x:c>
      <x:c r="D40" s="12" t="n">
        <x:f>Produits!D40</x:f>
        <x:v>0</x:v>
      </x:c>
      <x:c r="E40" s="12" t="n">
        <x:f>Produits!E40</x:f>
        <x:v>0</x:v>
      </x:c>
      <x:c r="F40" s="12" t="n">
        <x:f>Produits!F40</x:f>
        <x:v>0</x:v>
      </x:c>
      <x:c r="G40" s="12" t="n">
        <x:f>Produits!H40</x:f>
        <x:v>0</x:v>
      </x:c>
      <x:c r="H40" s="12" t="n">
        <x:f>Produits!I40</x:f>
        <x:v>0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0</x:v>
      </x:c>
      <x:c r="L40" s="12" t="n">
        <x:f>Produits!V40</x:f>
        <x:v>0</x:v>
      </x:c>
      <x:c r="M40" s="12" t="n">
        <x:f>Produits!Z40</x:f>
        <x:v>0</x:v>
      </x:c>
      <x:c r="N40" s="12" t="n">
        <x:f>Produits!AA40</x:f>
        <x:v>0</x:v>
      </x:c>
      <x:c r="O40" s="12" t="n">
        <x:f>Produits!AB40</x:f>
        <x:v>0</x:v>
      </x:c>
      <x:c r="P40" s="12" t="n">
        <x:f>Produits!AC40</x:f>
        <x:v>0</x:v>
      </x:c>
      <x:c r="Q40" s="12" t="n">
        <x:f>Produits!AG40</x:f>
        <x:v>0</x:v>
      </x:c>
    </x:row>
    <x:row r="41">
      <x:c r="A41" s="12" t="n">
        <x:f>Produits!A41</x:f>
        <x:v>0</x:v>
      </x:c>
      <x:c r="B41" s="12" t="n">
        <x:f>Produits!B41</x:f>
        <x:v>0</x:v>
      </x:c>
      <x:c r="C41" s="12" t="n">
        <x:f>Produits!C41</x:f>
        <x:v>0</x:v>
      </x:c>
      <x:c r="D41" s="12" t="n">
        <x:f>Produits!D41</x:f>
        <x:v>0</x:v>
      </x:c>
      <x:c r="E41" s="12" t="n">
        <x:f>Produits!E41</x:f>
        <x:v>0</x:v>
      </x:c>
      <x:c r="F41" s="12" t="n">
        <x:f>Produits!F41</x:f>
        <x:v>0</x:v>
      </x:c>
      <x:c r="G41" s="12" t="n">
        <x:f>Produits!H41</x:f>
        <x:v>0</x:v>
      </x:c>
      <x:c r="H41" s="12" t="n">
        <x:f>Produits!I41</x:f>
        <x:v>0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0</x:v>
      </x:c>
      <x:c r="L41" s="12" t="n">
        <x:f>Produits!V41</x:f>
        <x:v>0</x:v>
      </x:c>
      <x:c r="M41" s="12" t="n">
        <x:f>Produits!Z41</x:f>
        <x:v>0</x:v>
      </x:c>
      <x:c r="N41" s="12" t="n">
        <x:f>Produits!AA41</x:f>
        <x:v>0</x:v>
      </x:c>
      <x:c r="O41" s="12" t="n">
        <x:f>Produits!AB41</x:f>
        <x:v>0</x:v>
      </x:c>
      <x:c r="P41" s="12" t="n">
        <x:f>Produits!AC41</x:f>
        <x:v>0</x:v>
      </x:c>
      <x:c r="Q41" s="12" t="n">
        <x:f>Produits!AG41</x:f>
        <x:v>0</x:v>
      </x:c>
    </x:row>
    <x:row r="42">
      <x:c r="A42" s="12" t="n">
        <x:f>Produits!A42</x:f>
        <x:v>0</x:v>
      </x:c>
      <x:c r="B42" s="12" t="n">
        <x:f>Produits!B42</x:f>
        <x:v>0</x:v>
      </x:c>
      <x:c r="C42" s="12" t="n">
        <x:f>Produits!C42</x:f>
        <x:v>0</x:v>
      </x:c>
      <x:c r="D42" s="12" t="n">
        <x:f>Produits!D42</x:f>
        <x:v>0</x:v>
      </x:c>
      <x:c r="E42" s="12" t="n">
        <x:f>Produits!E42</x:f>
        <x:v>0</x:v>
      </x:c>
      <x:c r="F42" s="12" t="n">
        <x:f>Produits!F42</x:f>
        <x:v>0</x:v>
      </x:c>
      <x:c r="G42" s="12" t="n">
        <x:f>Produits!H42</x:f>
        <x:v>0</x:v>
      </x:c>
      <x:c r="H42" s="12" t="n">
        <x:f>Produits!I42</x:f>
        <x:v>0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0</x:v>
      </x:c>
      <x:c r="L42" s="12" t="n">
        <x:f>Produits!V42</x:f>
        <x:v>0</x:v>
      </x:c>
      <x:c r="M42" s="12" t="n">
        <x:f>Produits!Z42</x:f>
        <x:v>0</x:v>
      </x:c>
      <x:c r="N42" s="12" t="n">
        <x:f>Produits!AA42</x:f>
        <x:v>0</x:v>
      </x:c>
      <x:c r="O42" s="12" t="n">
        <x:f>Produits!AB42</x:f>
        <x:v>0</x:v>
      </x:c>
      <x:c r="P42" s="12" t="n">
        <x:f>Produits!AC42</x:f>
        <x:v>0</x:v>
      </x:c>
      <x:c r="Q42" s="12" t="n">
        <x:f>Produits!AG42</x:f>
        <x:v>0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