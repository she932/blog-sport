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5a78315ad74c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18a0502bd594196"/>
    <x:sheet xmlns:r="http://schemas.openxmlformats.org/officeDocument/2006/relationships" name="Produits" sheetId="2" r:id="R680521ec077b4502"/>
    <x:sheet xmlns:r="http://schemas.openxmlformats.org/officeDocument/2006/relationships" name="Notation" sheetId="3" r:id="R7f641ca45b6e42d4"/>
    <x:sheet xmlns:r="http://schemas.openxmlformats.org/officeDocument/2006/relationships" name="Import Claude" sheetId="4" r:id="Rc652bcfe81094517"/>
    <x:sheet xmlns:r="http://schemas.openxmlformats.org/officeDocument/2006/relationships" name="Listes" sheetId="5" r:id="R2ec6f64b12324307"/>
    <x:sheet xmlns:r="http://schemas.openxmlformats.org/officeDocument/2006/relationships" name="Mode d'emploi" sheetId="6" r:id="R328bddf118a743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db106c8b9f4c92" /><Relationship Type="http://schemas.openxmlformats.org/officeDocument/2006/relationships/theme" Target="/xl/theme/theme1.xml" Id="R7122960cebee4e52" /><Relationship Type="http://schemas.openxmlformats.org/officeDocument/2006/relationships/sharedStrings" Target="/xl/sharedStrings.xml" Id="Rbd788b1098a44362" /><Relationship Type="http://schemas.openxmlformats.org/officeDocument/2006/relationships/worksheet" Target="/xl/worksheets/sheet1.xml" Id="Re18a0502bd594196" /><Relationship Type="http://schemas.openxmlformats.org/officeDocument/2006/relationships/worksheet" Target="/xl/worksheets/sheet2.xml" Id="R680521ec077b4502" /><Relationship Type="http://schemas.openxmlformats.org/officeDocument/2006/relationships/worksheet" Target="/xl/worksheets/sheet3.xml" Id="R7f641ca45b6e42d4" /><Relationship Type="http://schemas.openxmlformats.org/officeDocument/2006/relationships/worksheet" Target="/xl/worksheets/sheet4.xml" Id="Rc652bcfe81094517" /><Relationship Type="http://schemas.openxmlformats.org/officeDocument/2006/relationships/worksheet" Target="/xl/worksheets/sheet5.xml" Id="R2ec6f64b12324307" /><Relationship Type="http://schemas.openxmlformats.org/officeDocument/2006/relationships/worksheet" Target="/xl/worksheets/sheet6.xml" Id="R328bddf118a743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7a2a156b70c45a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a2a156b70c45a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7b627c4243467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823cdb6f54475d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27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15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12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88.8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0</x:v>
      </x:c>
      <x:c r="F10" s="12" t="n">
        <x:f>COUNTIFS(Produits!B:B,D10,Produits!H:H,"??????????")</x:f>
        <x:v>0</x:v>
      </x:c>
      <x:c r="G10" s="12" t="n">
        <x:f>COUNTIFS(Produits!B:B,D10,Produits!AG:AG,"Validé")</x:f>
        <x:v>0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0</x:v>
      </x:c>
      <x:c r="F16" s="12" t="n">
        <x:f>COUNTIFS(Produits!B:B,D16,Produits!H:H,"??????????")</x:f>
        <x:v>0</x:v>
      </x:c>
      <x:c r="G16" s="12" t="n">
        <x:f>COUNTIFS(Produits!B:B,D16,Produits!AG:AG,"Validé")</x:f>
        <x:v>0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37b627c4243467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 t="str">
        <x:f>IF(OR(H31="",J31=""),"", "https://www.amazon.fr/dp/"&amp;H31&amp;"?tag="&amp;J31)</x:f>
      </x:c>
      <x:c r="L31" s="12"/>
      <x:c r="M31" s="36"/>
      <x:c r="N31" s="12"/>
      <x:c r="O31" s="12"/>
      <x:c r="P31" s="12"/>
      <x:c r="Q31" s="12"/>
      <x:c r="R31" s="12"/>
      <x:c r="S31" s="12"/>
      <x:c r="T31" s="12"/>
      <x:c r="U31" s="12" t="str">
        <x:f>IF(COUNTA(O31:T31)=0,"",SUM(O31:T31))</x:f>
      </x:c>
      <x:c r="V31" s="12" t="str">
        <x:f>IF(U31="","",IF(U31&gt;=95,"Exceptionnel",IF(U31&gt;=90,"Excellent",IF(U31&gt;=85,"Très bon",IF(U31&gt;=80,"Bon",IF(U31&gt;=70,"Correct","À revoir"))))))</x:f>
      </x:c>
      <x:c r="W31" s="12"/>
      <x:c r="X31" s="12"/>
      <x:c r="Y31" s="12"/>
      <x:c r="Z31" s="12"/>
      <x:c r="AA31" s="12"/>
      <x:c r="AB31" s="12"/>
      <x:c r="AC31" s="12"/>
      <x:c r="AD31" s="12"/>
      <x:c r="AE31" s="38"/>
      <x:c r="AF31" s="40"/>
      <x:c r="AG31" s="12"/>
      <x:c r="AH31" s="12"/>
      <x:c r="AI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 t="str">
        <x:f>IF(OR(H32="",J32=""),"", "https://www.amazon.fr/dp/"&amp;H32&amp;"?tag="&amp;J32)</x:f>
      </x:c>
      <x:c r="L32" s="12"/>
      <x:c r="M32" s="36"/>
      <x:c r="N32" s="12"/>
      <x:c r="O32" s="12"/>
      <x:c r="P32" s="12"/>
      <x:c r="Q32" s="12"/>
      <x:c r="R32" s="12"/>
      <x:c r="S32" s="12"/>
      <x:c r="T32" s="12"/>
      <x:c r="U32" s="12" t="str">
        <x:f>IF(COUNTA(O32:T32)=0,"",SUM(O32:T32))</x:f>
      </x:c>
      <x:c r="V32" s="12" t="str">
        <x:f>IF(U32="","",IF(U32&gt;=95,"Exceptionnel",IF(U32&gt;=90,"Excellent",IF(U32&gt;=85,"Très bon",IF(U32&gt;=80,"Bon",IF(U32&gt;=70,"Correct","À revoir"))))))</x:f>
      </x:c>
      <x:c r="W32" s="12"/>
      <x:c r="X32" s="12"/>
      <x:c r="Y32" s="12"/>
      <x:c r="Z32" s="12"/>
      <x:c r="AA32" s="12"/>
      <x:c r="AB32" s="12"/>
      <x:c r="AC32" s="12"/>
      <x:c r="AD32" s="12"/>
      <x:c r="AE32" s="38"/>
      <x:c r="AF32" s="40"/>
      <x:c r="AG32" s="12"/>
      <x:c r="AH32" s="12"/>
      <x:c r="AI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 t="str">
        <x:f>IF(OR(H33="",J33=""),"", "https://www.amazon.fr/dp/"&amp;H33&amp;"?tag="&amp;J33)</x:f>
      </x:c>
      <x:c r="L33" s="12"/>
      <x:c r="M33" s="36"/>
      <x:c r="N33" s="12"/>
      <x:c r="O33" s="12"/>
      <x:c r="P33" s="12"/>
      <x:c r="Q33" s="12"/>
      <x:c r="R33" s="12"/>
      <x:c r="S33" s="12"/>
      <x:c r="T33" s="12"/>
      <x:c r="U33" s="12" t="str">
        <x:f>IF(COUNTA(O33:T33)=0,"",SUM(O33:T33))</x:f>
      </x:c>
      <x:c r="V33" s="12" t="str">
        <x:f>IF(U33="","",IF(U33&gt;=95,"Exceptionnel",IF(U33&gt;=90,"Excellent",IF(U33&gt;=85,"Très bon",IF(U33&gt;=80,"Bon",IF(U33&gt;=70,"Correct","À revoir"))))))</x:f>
      </x:c>
      <x:c r="W33" s="12"/>
      <x:c r="X33" s="12"/>
      <x:c r="Y33" s="12"/>
      <x:c r="Z33" s="12"/>
      <x:c r="AA33" s="12"/>
      <x:c r="AB33" s="12"/>
      <x:c r="AC33" s="12"/>
      <x:c r="AD33" s="12"/>
      <x:c r="AE33" s="38"/>
      <x:c r="AF33" s="40"/>
      <x:c r="AG33" s="12"/>
      <x:c r="AH33" s="12"/>
      <x:c r="AI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 t="str">
        <x:f>IF(OR(H34="",J34=""),"", "https://www.amazon.fr/dp/"&amp;H34&amp;"?tag="&amp;J34)</x:f>
      </x:c>
      <x:c r="L34" s="12"/>
      <x:c r="M34" s="36"/>
      <x:c r="N34" s="12"/>
      <x:c r="O34" s="12"/>
      <x:c r="P34" s="12"/>
      <x:c r="Q34" s="12"/>
      <x:c r="R34" s="12"/>
      <x:c r="S34" s="12"/>
      <x:c r="T34" s="12"/>
      <x:c r="U34" s="12" t="str">
        <x:f>IF(COUNTA(O34:T34)=0,"",SUM(O34:T34))</x:f>
      </x:c>
      <x:c r="V34" s="12" t="str">
        <x:f>IF(U34="","",IF(U34&gt;=95,"Exceptionnel",IF(U34&gt;=90,"Excellent",IF(U34&gt;=85,"Très bon",IF(U34&gt;=80,"Bon",IF(U34&gt;=70,"Correct","À revoir"))))))</x:f>
      </x:c>
      <x:c r="W34" s="12"/>
      <x:c r="X34" s="12"/>
      <x:c r="Y34" s="12"/>
      <x:c r="Z34" s="12"/>
      <x:c r="AA34" s="12"/>
      <x:c r="AB34" s="12"/>
      <x:c r="AC34" s="12"/>
      <x:c r="AD34" s="12"/>
      <x:c r="AE34" s="38"/>
      <x:c r="AF34" s="40"/>
      <x:c r="AG34" s="12"/>
      <x:c r="AH34" s="12"/>
      <x:c r="AI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 t="str">
        <x:f>IF(OR(H35="",J35=""),"", "https://www.amazon.fr/dp/"&amp;H35&amp;"?tag="&amp;J35)</x:f>
      </x:c>
      <x:c r="L35" s="12"/>
      <x:c r="M35" s="36"/>
      <x:c r="N35" s="12"/>
      <x:c r="O35" s="12"/>
      <x:c r="P35" s="12"/>
      <x:c r="Q35" s="12"/>
      <x:c r="R35" s="12"/>
      <x:c r="S35" s="12"/>
      <x:c r="T35" s="12"/>
      <x:c r="U35" s="12" t="str">
        <x:f>IF(COUNTA(O35:T35)=0,"",SUM(O35:T35))</x:f>
      </x:c>
      <x:c r="V35" s="12" t="str">
        <x:f>IF(U35="","",IF(U35&gt;=95,"Exceptionnel",IF(U35&gt;=90,"Excellent",IF(U35&gt;=85,"Très bon",IF(U35&gt;=80,"Bon",IF(U35&gt;=70,"Correct","À revoir"))))))</x:f>
      </x:c>
      <x:c r="W35" s="12"/>
      <x:c r="X35" s="12"/>
      <x:c r="Y35" s="12"/>
      <x:c r="Z35" s="12"/>
      <x:c r="AA35" s="12"/>
      <x:c r="AB35" s="12"/>
      <x:c r="AC35" s="12"/>
      <x:c r="AD35" s="12"/>
      <x:c r="AE35" s="38"/>
      <x:c r="AF35" s="40"/>
      <x:c r="AG35" s="12"/>
      <x:c r="AH35" s="12"/>
      <x:c r="AI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 t="str">
        <x:f>IF(OR(H36="",J36=""),"", "https://www.amazon.fr/dp/"&amp;H36&amp;"?tag="&amp;J36)</x:f>
      </x:c>
      <x:c r="L36" s="12"/>
      <x:c r="M36" s="36"/>
      <x:c r="N36" s="12"/>
      <x:c r="O36" s="12"/>
      <x:c r="P36" s="12"/>
      <x:c r="Q36" s="12"/>
      <x:c r="R36" s="12"/>
      <x:c r="S36" s="12"/>
      <x:c r="T36" s="12"/>
      <x:c r="U36" s="12" t="str">
        <x:f>IF(COUNTA(O36:T36)=0,"",SUM(O36:T36))</x:f>
      </x:c>
      <x:c r="V36" s="12" t="str">
        <x:f>IF(U36="","",IF(U36&gt;=95,"Exceptionnel",IF(U36&gt;=90,"Excellent",IF(U36&gt;=85,"Très bon",IF(U36&gt;=80,"Bon",IF(U36&gt;=70,"Correct","À revoir"))))))</x:f>
      </x:c>
      <x:c r="W36" s="12"/>
      <x:c r="X36" s="12"/>
      <x:c r="Y36" s="12"/>
      <x:c r="Z36" s="12"/>
      <x:c r="AA36" s="12"/>
      <x:c r="AB36" s="12"/>
      <x:c r="AC36" s="12"/>
      <x:c r="AD36" s="12"/>
      <x:c r="AE36" s="38"/>
      <x:c r="AF36" s="40"/>
      <x:c r="AG36" s="12"/>
      <x:c r="AH36" s="12"/>
      <x:c r="AI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e823cdb6f54475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n">
        <x:f>Produits!A31</x:f>
        <x:v>0</x:v>
      </x:c>
      <x:c r="B31" s="12" t="n">
        <x:f>Produits!B31</x:f>
        <x:v>0</x:v>
      </x:c>
      <x:c r="C31" s="12" t="n">
        <x:f>Produits!C31</x:f>
        <x:v>0</x:v>
      </x:c>
      <x:c r="D31" s="12" t="n">
        <x:f>Produits!D31</x:f>
        <x:v>0</x:v>
      </x:c>
      <x:c r="E31" s="12" t="n">
        <x:f>Produits!E31</x:f>
        <x:v>0</x:v>
      </x:c>
      <x:c r="F31" s="12" t="n">
        <x:f>Produits!F31</x:f>
        <x:v>0</x:v>
      </x:c>
      <x:c r="G31" s="12" t="n">
        <x:f>Produits!H31</x:f>
        <x:v>0</x:v>
      </x:c>
      <x:c r="H31" s="12" t="n">
        <x:f>Produits!I31</x:f>
        <x:v>0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0</x:v>
      </x:c>
      <x:c r="L31" s="12" t="n">
        <x:f>Produits!V31</x:f>
        <x:v>0</x:v>
      </x:c>
      <x:c r="M31" s="12" t="n">
        <x:f>Produits!Z31</x:f>
        <x:v>0</x:v>
      </x:c>
      <x:c r="N31" s="12" t="n">
        <x:f>Produits!AA31</x:f>
        <x:v>0</x:v>
      </x:c>
      <x:c r="O31" s="12" t="n">
        <x:f>Produits!AB31</x:f>
        <x:v>0</x:v>
      </x:c>
      <x:c r="P31" s="12" t="n">
        <x:f>Produits!AC31</x:f>
        <x:v>0</x:v>
      </x:c>
      <x:c r="Q31" s="12" t="n">
        <x:f>Produits!AG31</x:f>
        <x:v>0</x:v>
      </x:c>
    </x:row>
    <x:row r="32">
      <x:c r="A32" s="12" t="n">
        <x:f>Produits!A32</x:f>
        <x:v>0</x:v>
      </x:c>
      <x:c r="B32" s="12" t="n">
        <x:f>Produits!B32</x:f>
        <x:v>0</x:v>
      </x:c>
      <x:c r="C32" s="12" t="n">
        <x:f>Produits!C32</x:f>
        <x:v>0</x:v>
      </x:c>
      <x:c r="D32" s="12" t="n">
        <x:f>Produits!D32</x:f>
        <x:v>0</x:v>
      </x:c>
      <x:c r="E32" s="12" t="n">
        <x:f>Produits!E32</x:f>
        <x:v>0</x:v>
      </x:c>
      <x:c r="F32" s="12" t="n">
        <x:f>Produits!F32</x:f>
        <x:v>0</x:v>
      </x:c>
      <x:c r="G32" s="12" t="n">
        <x:f>Produits!H32</x:f>
        <x:v>0</x:v>
      </x:c>
      <x:c r="H32" s="12" t="n">
        <x:f>Produits!I32</x:f>
        <x:v>0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0</x:v>
      </x:c>
      <x:c r="L32" s="12" t="n">
        <x:f>Produits!V32</x:f>
        <x:v>0</x:v>
      </x:c>
      <x:c r="M32" s="12" t="n">
        <x:f>Produits!Z32</x:f>
        <x:v>0</x:v>
      </x:c>
      <x:c r="N32" s="12" t="n">
        <x:f>Produits!AA32</x:f>
        <x:v>0</x:v>
      </x:c>
      <x:c r="O32" s="12" t="n">
        <x:f>Produits!AB32</x:f>
        <x:v>0</x:v>
      </x:c>
      <x:c r="P32" s="12" t="n">
        <x:f>Produits!AC32</x:f>
        <x:v>0</x:v>
      </x:c>
      <x:c r="Q32" s="12" t="n">
        <x:f>Produits!AG32</x:f>
        <x:v>0</x:v>
      </x:c>
    </x:row>
    <x:row r="33">
      <x:c r="A33" s="12" t="n">
        <x:f>Produits!A33</x:f>
        <x:v>0</x:v>
      </x:c>
      <x:c r="B33" s="12" t="n">
        <x:f>Produits!B33</x:f>
        <x:v>0</x:v>
      </x:c>
      <x:c r="C33" s="12" t="n">
        <x:f>Produits!C33</x:f>
        <x:v>0</x:v>
      </x:c>
      <x:c r="D33" s="12" t="n">
        <x:f>Produits!D33</x:f>
        <x:v>0</x:v>
      </x:c>
      <x:c r="E33" s="12" t="n">
        <x:f>Produits!E33</x:f>
        <x:v>0</x:v>
      </x:c>
      <x:c r="F33" s="12" t="n">
        <x:f>Produits!F33</x:f>
        <x:v>0</x:v>
      </x:c>
      <x:c r="G33" s="12" t="n">
        <x:f>Produits!H33</x:f>
        <x:v>0</x:v>
      </x:c>
      <x:c r="H33" s="12" t="n">
        <x:f>Produits!I33</x:f>
        <x:v>0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0</x:v>
      </x:c>
      <x:c r="L33" s="12" t="n">
        <x:f>Produits!V33</x:f>
        <x:v>0</x:v>
      </x:c>
      <x:c r="M33" s="12" t="n">
        <x:f>Produits!Z33</x:f>
        <x:v>0</x:v>
      </x:c>
      <x:c r="N33" s="12" t="n">
        <x:f>Produits!AA33</x:f>
        <x:v>0</x:v>
      </x:c>
      <x:c r="O33" s="12" t="n">
        <x:f>Produits!AB33</x:f>
        <x:v>0</x:v>
      </x:c>
      <x:c r="P33" s="12" t="n">
        <x:f>Produits!AC33</x:f>
        <x:v>0</x:v>
      </x:c>
      <x:c r="Q33" s="12" t="n">
        <x:f>Produits!AG33</x:f>
        <x:v>0</x:v>
      </x:c>
    </x:row>
    <x:row r="34">
      <x:c r="A34" s="12" t="n">
        <x:f>Produits!A34</x:f>
        <x:v>0</x:v>
      </x:c>
      <x:c r="B34" s="12" t="n">
        <x:f>Produits!B34</x:f>
        <x:v>0</x:v>
      </x:c>
      <x:c r="C34" s="12" t="n">
        <x:f>Produits!C34</x:f>
        <x:v>0</x:v>
      </x:c>
      <x:c r="D34" s="12" t="n">
        <x:f>Produits!D34</x:f>
        <x:v>0</x:v>
      </x:c>
      <x:c r="E34" s="12" t="n">
        <x:f>Produits!E34</x:f>
        <x:v>0</x:v>
      </x:c>
      <x:c r="F34" s="12" t="n">
        <x:f>Produits!F34</x:f>
        <x:v>0</x:v>
      </x:c>
      <x:c r="G34" s="12" t="n">
        <x:f>Produits!H34</x:f>
        <x:v>0</x:v>
      </x:c>
      <x:c r="H34" s="12" t="n">
        <x:f>Produits!I34</x:f>
        <x:v>0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0</x:v>
      </x:c>
      <x:c r="L34" s="12" t="n">
        <x:f>Produits!V34</x:f>
        <x:v>0</x:v>
      </x:c>
      <x:c r="M34" s="12" t="n">
        <x:f>Produits!Z34</x:f>
        <x:v>0</x:v>
      </x:c>
      <x:c r="N34" s="12" t="n">
        <x:f>Produits!AA34</x:f>
        <x:v>0</x:v>
      </x:c>
      <x:c r="O34" s="12" t="n">
        <x:f>Produits!AB34</x:f>
        <x:v>0</x:v>
      </x:c>
      <x:c r="P34" s="12" t="n">
        <x:f>Produits!AC34</x:f>
        <x:v>0</x:v>
      </x:c>
      <x:c r="Q34" s="12" t="n">
        <x:f>Produits!AG34</x:f>
        <x:v>0</x:v>
      </x:c>
    </x:row>
    <x:row r="35">
      <x:c r="A35" s="12" t="n">
        <x:f>Produits!A35</x:f>
        <x:v>0</x:v>
      </x:c>
      <x:c r="B35" s="12" t="n">
        <x:f>Produits!B35</x:f>
        <x:v>0</x:v>
      </x:c>
      <x:c r="C35" s="12" t="n">
        <x:f>Produits!C35</x:f>
        <x:v>0</x:v>
      </x:c>
      <x:c r="D35" s="12" t="n">
        <x:f>Produits!D35</x:f>
        <x:v>0</x:v>
      </x:c>
      <x:c r="E35" s="12" t="n">
        <x:f>Produits!E35</x:f>
        <x:v>0</x:v>
      </x:c>
      <x:c r="F35" s="12" t="n">
        <x:f>Produits!F35</x:f>
        <x:v>0</x:v>
      </x:c>
      <x:c r="G35" s="12" t="n">
        <x:f>Produits!H35</x:f>
        <x:v>0</x:v>
      </x:c>
      <x:c r="H35" s="12" t="n">
        <x:f>Produits!I35</x:f>
        <x:v>0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0</x:v>
      </x:c>
      <x:c r="L35" s="12" t="n">
        <x:f>Produits!V35</x:f>
        <x:v>0</x:v>
      </x:c>
      <x:c r="M35" s="12" t="n">
        <x:f>Produits!Z35</x:f>
        <x:v>0</x:v>
      </x:c>
      <x:c r="N35" s="12" t="n">
        <x:f>Produits!AA35</x:f>
        <x:v>0</x:v>
      </x:c>
      <x:c r="O35" s="12" t="n">
        <x:f>Produits!AB35</x:f>
        <x:v>0</x:v>
      </x:c>
      <x:c r="P35" s="12" t="n">
        <x:f>Produits!AC35</x:f>
        <x:v>0</x:v>
      </x:c>
      <x:c r="Q35" s="12" t="n">
        <x:f>Produits!AG35</x:f>
        <x:v>0</x:v>
      </x:c>
    </x:row>
    <x:row r="36">
      <x:c r="A36" s="12" t="n">
        <x:f>Produits!A36</x:f>
        <x:v>0</x:v>
      </x:c>
      <x:c r="B36" s="12" t="n">
        <x:f>Produits!B36</x:f>
        <x:v>0</x:v>
      </x:c>
      <x:c r="C36" s="12" t="n">
        <x:f>Produits!C36</x:f>
        <x:v>0</x:v>
      </x:c>
      <x:c r="D36" s="12" t="n">
        <x:f>Produits!D36</x:f>
        <x:v>0</x:v>
      </x:c>
      <x:c r="E36" s="12" t="n">
        <x:f>Produits!E36</x:f>
        <x:v>0</x:v>
      </x:c>
      <x:c r="F36" s="12" t="n">
        <x:f>Produits!F36</x:f>
        <x:v>0</x:v>
      </x:c>
      <x:c r="G36" s="12" t="n">
        <x:f>Produits!H36</x:f>
        <x:v>0</x:v>
      </x:c>
      <x:c r="H36" s="12" t="n">
        <x:f>Produits!I36</x:f>
        <x:v>0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0</x:v>
      </x:c>
      <x:c r="L36" s="12" t="n">
        <x:f>Produits!V36</x:f>
        <x:v>0</x:v>
      </x:c>
      <x:c r="M36" s="12" t="n">
        <x:f>Produits!Z36</x:f>
        <x:v>0</x:v>
      </x:c>
      <x:c r="N36" s="12" t="n">
        <x:f>Produits!AA36</x:f>
        <x:v>0</x:v>
      </x:c>
      <x:c r="O36" s="12" t="n">
        <x:f>Produits!AB36</x:f>
        <x:v>0</x:v>
      </x:c>
      <x:c r="P36" s="12" t="n">
        <x:f>Produits!AC36</x:f>
        <x:v>0</x:v>
      </x:c>
      <x:c r="Q36" s="12" t="n">
        <x:f>Produits!AG36</x:f>
        <x:v>0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