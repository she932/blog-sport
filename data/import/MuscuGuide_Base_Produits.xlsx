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888b2eb28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3a09d93d4f94b04"/>
    <x:sheet xmlns:r="http://schemas.openxmlformats.org/officeDocument/2006/relationships" name="Produits" sheetId="2" r:id="R4e3c4196cca148c9"/>
    <x:sheet xmlns:r="http://schemas.openxmlformats.org/officeDocument/2006/relationships" name="Notation" sheetId="3" r:id="Rae2c657b2ee64e14"/>
    <x:sheet xmlns:r="http://schemas.openxmlformats.org/officeDocument/2006/relationships" name="Import Claude" sheetId="4" r:id="R7ff59f63b1bc4820"/>
    <x:sheet xmlns:r="http://schemas.openxmlformats.org/officeDocument/2006/relationships" name="Listes" sheetId="5" r:id="R00f7979a1bfe47ca"/>
    <x:sheet xmlns:r="http://schemas.openxmlformats.org/officeDocument/2006/relationships" name="Mode d'emploi" sheetId="6" r:id="R76ad8f9768994f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63d0d33bd24f2b" /><Relationship Type="http://schemas.openxmlformats.org/officeDocument/2006/relationships/theme" Target="/xl/theme/theme1.xml" Id="Rad95468f94a84a0c" /><Relationship Type="http://schemas.openxmlformats.org/officeDocument/2006/relationships/sharedStrings" Target="/xl/sharedStrings.xml" Id="R10c1a87a5d594d74" /><Relationship Type="http://schemas.openxmlformats.org/officeDocument/2006/relationships/worksheet" Target="/xl/worksheets/sheet1.xml" Id="Re3a09d93d4f94b04" /><Relationship Type="http://schemas.openxmlformats.org/officeDocument/2006/relationships/worksheet" Target="/xl/worksheets/sheet2.xml" Id="R4e3c4196cca148c9" /><Relationship Type="http://schemas.openxmlformats.org/officeDocument/2006/relationships/worksheet" Target="/xl/worksheets/sheet3.xml" Id="Rae2c657b2ee64e14" /><Relationship Type="http://schemas.openxmlformats.org/officeDocument/2006/relationships/worksheet" Target="/xl/worksheets/sheet4.xml" Id="R7ff59f63b1bc4820" /><Relationship Type="http://schemas.openxmlformats.org/officeDocument/2006/relationships/worksheet" Target="/xl/worksheets/sheet5.xml" Id="R00f7979a1bfe47ca" /><Relationship Type="http://schemas.openxmlformats.org/officeDocument/2006/relationships/worksheet" Target="/xl/worksheets/sheet6.xml" Id="R76ad8f9768994f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38825c9b0f437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38825c9b0f437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0461de78beb45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c2e6940412c4221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36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24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12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89.25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3</x:v>
      </x:c>
      <x:c r="F15" s="12" t="n">
        <x:f>COUNTIFS(Produits!B:B,D15,Produits!H:H,"??????????")</x:f>
        <x:v>0</x:v>
      </x:c>
      <x:c r="G15" s="12" t="n">
        <x:f>COUNTIFS(Produits!B:B,D15,Produits!AG:AG,"Validé")</x:f>
        <x:v>3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3</x:v>
      </x:c>
      <x:c r="F16" s="12" t="n">
        <x:f>COUNTIFS(Produits!B:B,D16,Produits!H:H,"??????????")</x:f>
        <x:v>0</x:v>
      </x:c>
      <x:c r="G16" s="12" t="n">
        <x:f>COUNTIFS(Produits!B:B,D16,Produits!AG:AG,"Validé")</x:f>
        <x:v>3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60461de78beb45d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 t="str">
        <x:v>MG-BARRE-001</x:v>
      </x:c>
      <x:c r="B34" s="12" t="str">
        <x:v>Barre olympique</x:v>
      </x:c>
      <x:c r="C34" s="12" t="n">
        <x:v>1</x:v>
      </x:c>
      <x:c r="D34" s="12" t="str">
        <x:v>Choix MuscuGuide</x:v>
      </x:c>
      <x:c r="E34" s="12" t="str">
        <x:v>Strength Shop Original 2029 Power Bar</x:v>
      </x:c>
      <x:c r="F34" s="12" t="str">
        <x:v>Strength Shop</x:v>
      </x:c>
      <x:c r="G34" s="12" t="str">
        <x:v>20 kg — 220 cm — axe 29 mm — 185K PSI — bagues bronze</x:v>
      </x:c>
      <x:c r="H34" s="12" t="str">
        <x:v>B0CLT8NFSW</x:v>
      </x:c>
      <x:c r="I34" s="12" t="str">
        <x:v>https://www.amazon.fr/dp/B0CLT8NFSW</x:v>
      </x:c>
      <x:c r="J34" s="12"/>
      <x:c r="K34" s="12" t="str">
        <x:f>IF(OR(H34="",J34=""),"", "https://www.amazon.fr/dp/"&amp;H34&amp;"?tag="&amp;J34)</x:f>
      </x:c>
      <x:c r="L34" s="12"/>
      <x:c r="M34" s="36"/>
      <x:c r="N34" s="12" t="str">
        <x:v>Performance</x:v>
      </x:c>
      <x:c r="O34" s="12" t="n">
        <x:v>24</x:v>
      </x:c>
      <x:c r="P34" s="12" t="n">
        <x:v>22</x:v>
      </x:c>
      <x:c r="Q34" s="12" t="n">
        <x:v>18</x:v>
      </x:c>
      <x:c r="R34" s="12" t="n">
        <x:v>15</x:v>
      </x:c>
      <x:c r="S34" s="12" t="n">
        <x:v>9</x:v>
      </x:c>
      <x:c r="T34" s="12" t="n">
        <x:v>4</x:v>
      </x:c>
      <x:c r="U34" s="12" t="n">
        <x:f>IF(COUNTA(O34:T34)=0,"",SUM(O34:T34))</x:f>
        <x:v>92</x:v>
      </x:c>
      <x:c r="V34" s="12" t="str">
        <x:f>IF(U34="","",IF(U34&gt;=95,"Exceptionnel",IF(U34&gt;=90,"Excellent",IF(U34&gt;=85,"Très bon",IF(U34&gt;=80,"Bon",IF(U34&gt;=70,"Correct","À revoir"))))))</x:f>
        <x:v>Excellent</x:v>
      </x:c>
      <x:c r="W34" s="12" t="str">
        <x:v>Oui</x:v>
      </x:c>
      <x:c r="X34" s="12" t="str">
        <x:v>Oui</x:v>
      </x:c>
      <x:c r="Y34" s="12" t="str">
        <x:v>Oui</x:v>
      </x:c>
      <x:c r="Z34" s="12" t="str">
        <x:v>Une barre de force sérieuse et bien équilibrée pour le squat, le développé couché et le soulevé de terre dans un home gym exigeant.</x:v>
      </x:c>
      <x:c r="AA34" s="12" t="str">
        <x:v>Standard 20 kg et 220 cm | Axe 29 mm typé powerlifting | Moletage central | Bagues en bronze | Revêtement E-Coat résistant</x:v>
      </x:c>
      <x:c r="AB34" s="12" t="str">
        <x:v>Charge conseillée de 260 kg | Moletage assez agressif | Moins adaptée à l’haltérophilie olympique dynamique</x:v>
      </x:c>
      <x:c r="AC34" s="12" t="str">
        <x:v>Intermédiaire à confirmé orienté powerlifting et mouvements de force</x:v>
      </x:c>
      <x:c r="AD34" s="12" t="n">
        <x:v>58</x:v>
      </x:c>
      <x:c r="AE34" s="38" t="n">
        <x:v>4.5</x:v>
      </x:c>
      <x:c r="AF34" s="55" t="n">
        <x:v>46239</x:v>
      </x:c>
      <x:c r="AG34" s="12" t="str">
        <x:v>Validé</x:v>
      </x:c>
      <x:c r="AH34" s="12" t="str">
        <x:v>https://www.amazon.fr/dp/B0CLT8NFSW</x:v>
      </x:c>
      <x:c r="AI34" s="12" t="str">
        <x:v>ASIN, note Amazon 4,5/5 et 58 évaluations vérifiés le 05/08/2026. Spécifications 20 kg, 220 cm, axe 29 mm, 185K PSI, bagues bronze et charge conseillée 260 kg confirmées par Strength Shop : https://strengthshop.eu/products/original-2029-power-bar-all-black</x:v>
      </x:c>
    </x:row>
    <x:row r="35">
      <x:c r="A35" s="12" t="str">
        <x:v>MG-BARRE-002</x:v>
      </x:c>
      <x:c r="B35" s="12" t="str">
        <x:v>Barre olympique</x:v>
      </x:c>
      <x:c r="C35" s="12" t="n">
        <x:v>2</x:v>
      </x:c>
      <x:c r="D35" s="12" t="str">
        <x:v>Meilleur rapport qualité/prix</x:v>
      </x:c>
      <x:c r="E35" s="12" t="str">
        <x:v>DIAMOND Barre olympique Power Training 220 cm</x:v>
      </x:c>
      <x:c r="F35" s="12" t="str">
        <x:v>DIAMOND</x:v>
      </x:c>
      <x:c r="G35" s="12" t="str">
        <x:v>220 cm — manchons 50 mm — charge maximale annoncée 320 kg</x:v>
      </x:c>
      <x:c r="H35" s="12" t="str">
        <x:v>B0CWFD1FKH</x:v>
      </x:c>
      <x:c r="I35" s="12" t="str">
        <x:v>https://www.amazon.fr/dp/B0CWFD1FKH</x:v>
      </x:c>
      <x:c r="J35" s="12"/>
      <x:c r="K35" s="12" t="str">
        <x:f>IF(OR(H35="",J35=""),"", "https://www.amazon.fr/dp/"&amp;H35&amp;"?tag="&amp;J35)</x:f>
      </x:c>
      <x:c r="L35" s="12"/>
      <x:c r="M35" s="36"/>
      <x:c r="N35" s="12" t="str">
        <x:v>Essentials</x:v>
      </x:c>
      <x:c r="O35" s="12" t="n">
        <x:v>20</x:v>
      </x:c>
      <x:c r="P35" s="12" t="n">
        <x:v>24</x:v>
      </x:c>
      <x:c r="Q35" s="12" t="n">
        <x:v>19</x:v>
      </x:c>
      <x:c r="R35" s="12" t="n">
        <x:v>13</x:v>
      </x:c>
      <x:c r="S35" s="12" t="n">
        <x:v>8</x:v>
      </x:c>
      <x:c r="T35" s="12" t="n">
        <x:v>3</x:v>
      </x:c>
      <x:c r="U35" s="12" t="n">
        <x:f>IF(COUNTA(O35:T35)=0,"",SUM(O35:T35))</x:f>
        <x:v>87</x:v>
      </x:c>
      <x:c r="V35" s="12" t="str">
        <x:f>IF(U35="","",IF(U35&gt;=95,"Exceptionnel",IF(U35&gt;=90,"Excellent",IF(U35&gt;=85,"Très bon",IF(U35&gt;=80,"Bon",IF(U35&gt;=70,"Correct","À revoir"))))))</x:f>
        <x:v>Très bon</x:v>
      </x:c>
      <x:c r="W35" s="12" t="str">
        <x:v>Oui</x:v>
      </x:c>
      <x:c r="X35" s="12" t="str">
        <x:v>Oui</x:v>
      </x:c>
      <x:c r="Y35" s="12"/>
      <x:c r="Z35" s="12" t="str">
        <x:v>Une barre olympique accessible et polyvalente, intéressante pour équiper un premier home gym avec des disques de 50 mm.</x:v>
      </x:c>
      <x:c r="AA35" s="12" t="str">
        <x:v>Bon rapport qualité/prix | Longueur standard 220 cm | Compatible disques 50 mm | Charge annoncée 320 kg | Polyvalente</x:v>
      </x:c>
      <x:c r="AB35" s="12" t="str">
        <x:v>Finitions plus simples | Informations techniques moins détaillées | Moins spécialisée qu’une vraie power bar</x:v>
      </x:c>
      <x:c r="AC35" s="12" t="str">
        <x:v>Débutant à intermédiaire recherchant une barre olympique polyvalente</x:v>
      </x:c>
      <x:c r="AD35" s="12" t="n">
        <x:v>82</x:v>
      </x:c>
      <x:c r="AE35" s="38" t="n">
        <x:v>4.6</x:v>
      </x:c>
      <x:c r="AF35" s="55" t="n">
        <x:v>46239</x:v>
      </x:c>
      <x:c r="AG35" s="12" t="str">
        <x:v>Validé</x:v>
      </x:c>
      <x:c r="AH35" s="12" t="str">
        <x:v>https://www.amazon.fr/dp/B0CWFD1FKH</x:v>
      </x:c>
      <x:c r="AI35" s="12" t="str">
        <x:v>ASIN, note Amazon 4,6/5 et 82 évaluations vérifiés le 05/08/2026. Longueur 220 cm, manchons 50 mm et charge maximale annoncée 320 kg confirmés sur Amazon FR.</x:v>
      </x:c>
    </x:row>
    <x:row r="36">
      <x:c r="A36" s="12" t="str">
        <x:v>MG-BARRE-003</x:v>
      </x:c>
      <x:c r="B36" s="12" t="str">
        <x:v>Barre olympique</x:v>
      </x:c>
      <x:c r="C36" s="12" t="n">
        <x:v>3</x:v>
      </x:c>
      <x:c r="D36" s="12" t="str">
        <x:v>Premium</x:v>
      </x:c>
      <x:c r="E36" s="12" t="str">
        <x:v>GORILLA SPORTS Barre olympique longue 220 cm</x:v>
      </x:c>
      <x:c r="F36" s="12" t="str">
        <x:v>GORILLA SPORTS</x:v>
      </x:c>
      <x:c r="G36" s="12" t="str">
        <x:v>20 kg — 220 cm — disques 50 mm — charge maximale annoncée 680 kg</x:v>
      </x:c>
      <x:c r="H36" s="12" t="str">
        <x:v>B07PYJKJFY</x:v>
      </x:c>
      <x:c r="I36" s="12" t="str">
        <x:v>https://www.amazon.fr/dp/B07PYJKJFY</x:v>
      </x:c>
      <x:c r="J36" s="12"/>
      <x:c r="K36" s="12" t="str">
        <x:f>IF(OR(H36="",J36=""),"", "https://www.amazon.fr/dp/"&amp;H36&amp;"?tag="&amp;J36)</x:f>
      </x:c>
      <x:c r="L36" s="12"/>
      <x:c r="M36" s="36"/>
      <x:c r="N36" s="12" t="str">
        <x:v>Elite</x:v>
      </x:c>
      <x:c r="O36" s="12" t="n">
        <x:v>23</x:v>
      </x:c>
      <x:c r="P36" s="12" t="n">
        <x:v>20</x:v>
      </x:c>
      <x:c r="Q36" s="12" t="n">
        <x:v>16</x:v>
      </x:c>
      <x:c r="R36" s="12" t="n">
        <x:v>15</x:v>
      </x:c>
      <x:c r="S36" s="12" t="n">
        <x:v>10</x:v>
      </x:c>
      <x:c r="T36" s="12" t="n">
        <x:v>4</x:v>
      </x:c>
      <x:c r="U36" s="12" t="n">
        <x:f>IF(COUNTA(O36:T36)=0,"",SUM(O36:T36))</x:f>
        <x:v>88</x:v>
      </x:c>
      <x:c r="V36" s="12" t="str">
        <x:f>IF(U36="","",IF(U36&gt;=95,"Exceptionnel",IF(U36&gt;=90,"Excellent",IF(U36&gt;=85,"Très bon",IF(U36&gt;=80,"Bon",IF(U36&gt;=70,"Correct","À revoir"))))))</x:f>
        <x:v>Très bon</x:v>
      </x:c>
      <x:c r="W36" s="12"/>
      <x:c r="X36" s="12" t="str">
        <x:v>Oui</x:v>
      </x:c>
      <x:c r="Y36" s="12" t="str">
        <x:v>Oui</x:v>
      </x:c>
      <x:c r="Z36" s="12" t="str">
        <x:v>Une barre très robuste destinée aux charges lourdes, avec un standard olympique de 50 mm et une capacité annoncée particulièrement élevée.</x:v>
      </x:c>
      <x:c r="AA36" s="12" t="str">
        <x:v>Poids standard 20 kg | Longueur 220 cm | Charge annoncée 680 kg | Manchons 50 mm | Roulement pivotant et poignées moletées</x:v>
      </x:c>
      <x:c r="AB36" s="12" t="str">
        <x:v>Prix plus élevé | Données d’avis variables selon la déclinaison | Moletage et rigidité potentiellement excessifs pour un débutant</x:v>
      </x:c>
      <x:c r="AC36" s="12" t="str">
        <x:v>Confirmé recherchant une barre robuste pour progresser sur les mouvements lourds</x:v>
      </x:c>
      <x:c r="AD36" s="12"/>
      <x:c r="AE36" s="38"/>
      <x:c r="AF36" s="55" t="n">
        <x:v>46239</x:v>
      </x:c>
      <x:c r="AG36" s="12" t="str">
        <x:v>Validé</x:v>
      </x:c>
      <x:c r="AH36" s="12" t="str">
        <x:v>https://www.amazon.fr/dp/B07PYJKJFY</x:v>
      </x:c>
      <x:c r="AI36" s="12" t="str">
        <x:v>ASIN et caractéristiques vérifiés le 05/08/2026. Amazon FR annonce 20 kg, 220 cm, manchons 50 mm et charge maximale 680 kg. Note et nombre d’avis laissés vides car les valeurs affichées varient selon la déclinaison.</x:v>
      </x:c>
    </x:row>
    <x:row r="37">
      <x:c r="A37" s="12" t="str">
        <x:v>MG-KETT-001</x:v>
      </x:c>
      <x:c r="B37" s="12" t="str">
        <x:v>Kettlebells</x:v>
      </x:c>
      <x:c r="C37" s="12" t="n">
        <x:v>1</x:v>
      </x:c>
      <x:c r="D37" s="12" t="str">
        <x:v>Choix MuscuGuide</x:v>
      </x:c>
      <x:c r="E37" s="12" t="str">
        <x:v>PROIRON Kettlebell 12 kg en néoprène</x:v>
      </x:c>
      <x:c r="F37" s="12" t="str">
        <x:v>PROIRON</x:v>
      </x:c>
      <x:c r="G37" s="12" t="str">
        <x:v>12 kg — fonte monobloc — revêtement néoprène — poignée large</x:v>
      </x:c>
      <x:c r="H37" s="12" t="str">
        <x:v>B09T9MY8L3</x:v>
      </x:c>
      <x:c r="I37" s="12" t="str">
        <x:v>https://www.amazon.fr/dp/B09T9MY8L3</x:v>
      </x:c>
      <x:c r="J37" s="12"/>
      <x:c r="K37" s="12" t="str">
        <x:f>IF(OR(H37="",J37=""),"", "https://www.amazon.fr/dp/"&amp;H37&amp;"?tag="&amp;J37)</x:f>
      </x:c>
      <x:c r="L37" s="12"/>
      <x:c r="M37" s="36"/>
      <x:c r="N37" s="12" t="str">
        <x:v>Performance</x:v>
      </x:c>
      <x:c r="O37" s="12" t="n">
        <x:v>23</x:v>
      </x:c>
      <x:c r="P37" s="12" t="n">
        <x:v>23</x:v>
      </x:c>
      <x:c r="Q37" s="12" t="n">
        <x:v>20</x:v>
      </x:c>
      <x:c r="R37" s="12" t="n">
        <x:v>14</x:v>
      </x:c>
      <x:c r="S37" s="12" t="n">
        <x:v>9</x:v>
      </x:c>
      <x:c r="T37" s="12" t="n">
        <x:v>3</x:v>
      </x:c>
      <x:c r="U37" s="12" t="n">
        <x:f>IF(COUNTA(O37:T37)=0,"",SUM(O37:T37))</x:f>
        <x:v>92</x:v>
      </x:c>
      <x:c r="V37" s="12" t="str">
        <x:f>IF(U37="","",IF(U37&gt;=95,"Exceptionnel",IF(U37&gt;=90,"Excellent",IF(U37&gt;=85,"Très bon",IF(U37&gt;=80,"Bon",IF(U37&gt;=70,"Correct","À revoir"))))))</x:f>
        <x:v>Excellent</x:v>
      </x:c>
      <x:c r="W37" s="12" t="str">
        <x:v>Oui</x:v>
      </x:c>
      <x:c r="X37" s="12" t="str">
        <x:v>Oui</x:v>
      </x:c>
      <x:c r="Y37" s="12" t="str">
        <x:v>Oui</x:v>
      </x:c>
      <x:c r="Z37" s="12" t="str">
        <x:v>Une kettlebell polyvalente et bien finie pour progresser sur les swings, squats et exercices de renforcement à domicile.</x:v>
      </x:c>
      <x:c r="AA37" s="12" t="str">
        <x:v>Fonte monobloc | Revêtement néoprène protecteur | Poignée large | Note Amazon élevée | Format 12 kg polyvalent</x:v>
      </x:c>
      <x:c r="AB37" s="12" t="str">
        <x:v>Poids fixe | Moins adaptée aux grands débutants | Le néoprène peut s’user avec un usage très intensif</x:v>
      </x:c>
      <x:c r="AC37" s="12" t="str">
        <x:v>Débutant à intermédiaire recherchant une kettlebell polyvalente pour le home gym</x:v>
      </x:c>
      <x:c r="AD37" s="12" t="n">
        <x:v>116</x:v>
      </x:c>
      <x:c r="AE37" s="38" t="n">
        <x:v>4.8</x:v>
      </x:c>
      <x:c r="AF37" s="55" t="n">
        <x:v>46239</x:v>
      </x:c>
      <x:c r="AG37" s="12" t="str">
        <x:v>Validé</x:v>
      </x:c>
      <x:c r="AH37" s="12" t="str">
        <x:v>https://www.amazon.fr/dp/B09T9MY8L3</x:v>
      </x:c>
      <x:c r="AI37" s="12" t="str">
        <x:v>ASIN, poids de 12 kg, matière néoprène, note Amazon 4,8/5 et 116 commentaires vérifiés le 05/08/2026.</x:v>
      </x:c>
    </x:row>
    <x:row r="38">
      <x:c r="A38" s="12" t="str">
        <x:v>MG-KETT-002</x:v>
      </x:c>
      <x:c r="B38" s="12" t="str">
        <x:v>Kettlebells</x:v>
      </x:c>
      <x:c r="C38" s="12" t="n">
        <x:v>2</x:v>
      </x:c>
      <x:c r="D38" s="12" t="str">
        <x:v>Meilleur rapport qualité/prix</x:v>
      </x:c>
      <x:c r="E38" s="12" t="str">
        <x:v>Yes4All Kettlebell en fonte avec revêtement poudre</x:v>
      </x:c>
      <x:c r="F38" s="12" t="str">
        <x:v>Yes4All</x:v>
      </x:c>
      <x:c r="G38" s="12" t="str">
        <x:v>Gamme 4 à 32 kg — fonte monobloc — poignée large</x:v>
      </x:c>
      <x:c r="H38" s="12" t="str">
        <x:v>B0DNK2V1WR</x:v>
      </x:c>
      <x:c r="I38" s="12" t="str">
        <x:v>https://www.amazon.fr/dp/B0DNK2V1WR</x:v>
      </x:c>
      <x:c r="J38" s="12"/>
      <x:c r="K38" s="12" t="str">
        <x:f>IF(OR(H38="",J38=""),"", "https://www.amazon.fr/dp/"&amp;H38&amp;"?tag="&amp;J38)</x:f>
      </x:c>
      <x:c r="L38" s="12"/>
      <x:c r="M38" s="36"/>
      <x:c r="N38" s="12" t="str">
        <x:v>Essentials</x:v>
      </x:c>
      <x:c r="O38" s="12" t="n">
        <x:v>22</x:v>
      </x:c>
      <x:c r="P38" s="12" t="n">
        <x:v>24</x:v>
      </x:c>
      <x:c r="Q38" s="12" t="n">
        <x:v>20</x:v>
      </x:c>
      <x:c r="R38" s="12" t="n">
        <x:v>13</x:v>
      </x:c>
      <x:c r="S38" s="12" t="n">
        <x:v>8</x:v>
      </x:c>
      <x:c r="T38" s="12" t="n">
        <x:v>3</x:v>
      </x:c>
      <x:c r="U38" s="12" t="n">
        <x:f>IF(COUNTA(O38:T38)=0,"",SUM(O38:T38))</x:f>
        <x:v>90</x:v>
      </x:c>
      <x:c r="V38" s="12" t="str">
        <x:f>IF(U38="","",IF(U38&gt;=95,"Exceptionnel",IF(U38&gt;=90,"Excellent",IF(U38&gt;=85,"Très bon",IF(U38&gt;=80,"Bon",IF(U38&gt;=70,"Correct","À revoir"))))))</x:f>
        <x:v>Excellent</x:v>
      </x:c>
      <x:c r="W38" s="12" t="str">
        <x:v>Oui</x:v>
      </x:c>
      <x:c r="X38" s="12" t="str">
        <x:v>Oui</x:v>
      </x:c>
      <x:c r="Y38" s="12"/>
      <x:c r="Z38" s="12" t="str">
        <x:v>Une gamme populaire et accessible, avec de nombreux poids disponibles et une finition poudre adaptée aux entraînements réguliers.</x:v>
      </x:c>
      <x:c r="AA38" s="12" t="str">
        <x:v>Très bon rapport qualité/prix | Gamme 4 à 32 kg | 4,7/5 sur plus de 4 500 évaluations | Poignée large | Fonte sans soudure</x:v>
      </x:c>
      <x:c r="AB38" s="12" t="str">
        <x:v>L’ASIN correspond à une variante légère | Finition moins premium | Disponibilité variable selon le poids</x:v>
      </x:c>
      <x:c r="AC38" s="12" t="str">
        <x:v>Débutant à confirmé souhaitant choisir précisément son poids</x:v>
      </x:c>
      <x:c r="AD38" s="12" t="n">
        <x:v>4566</x:v>
      </x:c>
      <x:c r="AE38" s="38" t="n">
        <x:v>4.7</x:v>
      </x:c>
      <x:c r="AF38" s="55" t="n">
        <x:v>46239</x:v>
      </x:c>
      <x:c r="AG38" s="12" t="str">
        <x:v>Validé</x:v>
      </x:c>
      <x:c r="AH38" s="12" t="str">
        <x:v>https://www.amazon.fr/dp/B0DNK2V1WR</x:v>
      </x:c>
      <x:c r="AI38" s="12" t="str">
        <x:v>ASIN de la variante Amazon FR, note 4,7/5 et 4 566 évaluations vérifiés le 05/08/2026. La fiche produit regroupe une gamme de 4 à 32 kg.</x:v>
      </x:c>
    </x:row>
    <x:row r="39">
      <x:c r="A39" s="12" t="str">
        <x:v>MG-KETT-003</x:v>
      </x:c>
      <x:c r="B39" s="12" t="str">
        <x:v>Kettlebells</x:v>
      </x:c>
      <x:c r="C39" s="12" t="n">
        <x:v>3</x:v>
      </x:c>
      <x:c r="D39" s="12" t="str">
        <x:v>Premium</x:v>
      </x:c>
      <x:c r="E39" s="12" t="str">
        <x:v>Kettlebell Kings Powder Coat 8 kg</x:v>
      </x:c>
      <x:c r="F39" s="12" t="str">
        <x:v>Kettlebell Kings</x:v>
      </x:c>
      <x:c r="G39" s="12" t="str">
        <x:v>8 kg — fonte moulée en une pièce — finition poudre — base usinée</x:v>
      </x:c>
      <x:c r="H39" s="12" t="str">
        <x:v>B017WB2OHQ</x:v>
      </x:c>
      <x:c r="I39" s="12" t="str">
        <x:v>https://www.amazon.fr/dp/B017WB2OHQ</x:v>
      </x:c>
      <x:c r="J39" s="12"/>
      <x:c r="K39" s="12" t="str">
        <x:f>IF(OR(H39="",J39=""),"", "https://www.amazon.fr/dp/"&amp;H39&amp;"?tag="&amp;J39)</x:f>
      </x:c>
      <x:c r="L39" s="12"/>
      <x:c r="M39" s="36"/>
      <x:c r="N39" s="12" t="str">
        <x:v>Elite</x:v>
      </x:c>
      <x:c r="O39" s="12" t="n">
        <x:v>25</x:v>
      </x:c>
      <x:c r="P39" s="12" t="n">
        <x:v>19</x:v>
      </x:c>
      <x:c r="Q39" s="12" t="n">
        <x:v>19</x:v>
      </x:c>
      <x:c r="R39" s="12" t="n">
        <x:v>14</x:v>
      </x:c>
      <x:c r="S39" s="12" t="n">
        <x:v>10</x:v>
      </x:c>
      <x:c r="T39" s="12" t="n">
        <x:v>4</x:v>
      </x:c>
      <x:c r="U39" s="12" t="n">
        <x:f>IF(COUNTA(O39:T39)=0,"",SUM(O39:T39))</x:f>
        <x:v>91</x:v>
      </x:c>
      <x:c r="V39" s="12" t="str">
        <x:f>IF(U39="","",IF(U39&gt;=95,"Exceptionnel",IF(U39&gt;=90,"Excellent",IF(U39&gt;=85,"Très bon",IF(U39&gt;=80,"Bon",IF(U39&gt;=70,"Correct","À revoir"))))))</x:f>
        <x:v>Excellent</x:v>
      </x:c>
      <x:c r="W39" s="12"/>
      <x:c r="X39" s="12" t="str">
        <x:v>Oui</x:v>
      </x:c>
      <x:c r="Y39" s="12" t="str">
        <x:v>Oui</x:v>
      </x:c>
      <x:c r="Z39" s="12" t="str">
        <x:v>Une kettlebell premium en fonte monobloc, conçue pour une prise fiable et une grande durabilité lors des entraînements techniques.</x:v>
      </x:c>
      <x:c r="AA39" s="12" t="str">
        <x:v>Fonte moulée en une pièce | Finition poudre durable | Base plane usinée | Très bonne prise en main | Fabrication précise</x:v>
      </x:c>
      <x:c r="AB39" s="12" t="str">
        <x:v>Prix plus élevé | Poids fixe de 8 kg sur cet ASIN | Disponibilité parfois limitée</x:v>
      </x:c>
      <x:c r="AC39" s="12" t="str">
        <x:v>Intermédiaire à confirmé privilégiant la qualité de fabrication et la durabilité</x:v>
      </x:c>
      <x:c r="AD39" s="12" t="n">
        <x:v>354</x:v>
      </x:c>
      <x:c r="AE39" s="38" t="n">
        <x:v>4.5</x:v>
      </x:c>
      <x:c r="AF39" s="55" t="n">
        <x:v>46239</x:v>
      </x:c>
      <x:c r="AG39" s="12" t="str">
        <x:v>Validé</x:v>
      </x:c>
      <x:c r="AH39" s="12" t="str">
        <x:v>https://www.amazon.fr/dp/B017WB2OHQ</x:v>
      </x:c>
      <x:c r="AI39" s="12" t="str">
        <x:v>ASIN, modèle 8 kg, note Amazon 4,5/5 et 354 évaluations vérifiés le 05/08/2026. Fonte monobloc, finition poudre et base plane confirmées sur la fiche Amazon FR.</x:v>
      </x:c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c2e6940412c422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str">
        <x:f>Produits!A34</x:f>
        <x:v>MG-BARRE-001</x:v>
      </x:c>
      <x:c r="B34" s="12" t="str">
        <x:f>Produits!B34</x:f>
        <x:v>Barre olympique</x:v>
      </x:c>
      <x:c r="C34" s="12" t="n">
        <x:f>Produits!C34</x:f>
        <x:v>1</x:v>
      </x:c>
      <x:c r="D34" s="12" t="str">
        <x:f>Produits!D34</x:f>
        <x:v>Choix MuscuGuide</x:v>
      </x:c>
      <x:c r="E34" s="12" t="str">
        <x:f>Produits!E34</x:f>
        <x:v>Strength Shop Original 2029 Power Bar</x:v>
      </x:c>
      <x:c r="F34" s="12" t="str">
        <x:f>Produits!F34</x:f>
        <x:v>Strength Shop</x:v>
      </x:c>
      <x:c r="G34" s="12" t="str">
        <x:f>Produits!H34</x:f>
        <x:v>B0CLT8NFSW</x:v>
      </x:c>
      <x:c r="H34" s="12" t="str">
        <x:f>Produits!I34</x:f>
        <x:v>https://www.amazon.fr/dp/B0CLT8NFSW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92</x:v>
      </x:c>
      <x:c r="L34" s="12" t="str">
        <x:f>Produits!V34</x:f>
        <x:v>Excellent</x:v>
      </x:c>
      <x:c r="M34" s="12" t="str">
        <x:f>Produits!Z34</x:f>
        <x:v>Une barre de force sérieuse et bien équilibrée pour le squat, le développé couché et le soulevé de terre dans un home gym exigeant.</x:v>
      </x:c>
      <x:c r="N34" s="12" t="str">
        <x:f>Produits!AA34</x:f>
        <x:v>Standard 20 kg et 220 cm | Axe 29 mm typé powerlifting | Moletage central | Bagues en bronze | Revêtement E-Coat résistant</x:v>
      </x:c>
      <x:c r="O34" s="12" t="str">
        <x:f>Produits!AB34</x:f>
        <x:v>Charge conseillée de 260 kg | Moletage assez agressif | Moins adaptée à l’haltérophilie olympique dynamique</x:v>
      </x:c>
      <x:c r="P34" s="12" t="str">
        <x:f>Produits!AC34</x:f>
        <x:v>Intermédiaire à confirmé orienté powerlifting et mouvements de force</x:v>
      </x:c>
      <x:c r="Q34" s="12" t="str">
        <x:f>Produits!AG34</x:f>
        <x:v>Validé</x:v>
      </x:c>
    </x:row>
    <x:row r="35">
      <x:c r="A35" s="12" t="str">
        <x:f>Produits!A35</x:f>
        <x:v>MG-BARRE-002</x:v>
      </x:c>
      <x:c r="B35" s="12" t="str">
        <x:f>Produits!B35</x:f>
        <x:v>Barre olympique</x:v>
      </x:c>
      <x:c r="C35" s="12" t="n">
        <x:f>Produits!C35</x:f>
        <x:v>2</x:v>
      </x:c>
      <x:c r="D35" s="12" t="str">
        <x:f>Produits!D35</x:f>
        <x:v>Meilleur rapport qualité/prix</x:v>
      </x:c>
      <x:c r="E35" s="12" t="str">
        <x:f>Produits!E35</x:f>
        <x:v>DIAMOND Barre olympique Power Training 220 cm</x:v>
      </x:c>
      <x:c r="F35" s="12" t="str">
        <x:f>Produits!F35</x:f>
        <x:v>DIAMOND</x:v>
      </x:c>
      <x:c r="G35" s="12" t="str">
        <x:f>Produits!H35</x:f>
        <x:v>B0CWFD1FKH</x:v>
      </x:c>
      <x:c r="H35" s="12" t="str">
        <x:f>Produits!I35</x:f>
        <x:v>https://www.amazon.fr/dp/B0CWFD1FKH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87</x:v>
      </x:c>
      <x:c r="L35" s="12" t="str">
        <x:f>Produits!V35</x:f>
        <x:v>Très bon</x:v>
      </x:c>
      <x:c r="M35" s="12" t="str">
        <x:f>Produits!Z35</x:f>
        <x:v>Une barre olympique accessible et polyvalente, intéressante pour équiper un premier home gym avec des disques de 50 mm.</x:v>
      </x:c>
      <x:c r="N35" s="12" t="str">
        <x:f>Produits!AA35</x:f>
        <x:v>Bon rapport qualité/prix | Longueur standard 220 cm | Compatible disques 50 mm | Charge annoncée 320 kg | Polyvalente</x:v>
      </x:c>
      <x:c r="O35" s="12" t="str">
        <x:f>Produits!AB35</x:f>
        <x:v>Finitions plus simples | Informations techniques moins détaillées | Moins spécialisée qu’une vraie power bar</x:v>
      </x:c>
      <x:c r="P35" s="12" t="str">
        <x:f>Produits!AC35</x:f>
        <x:v>Débutant à intermédiaire recherchant une barre olympique polyvalente</x:v>
      </x:c>
      <x:c r="Q35" s="12" t="str">
        <x:f>Produits!AG35</x:f>
        <x:v>Validé</x:v>
      </x:c>
    </x:row>
    <x:row r="36">
      <x:c r="A36" s="12" t="str">
        <x:f>Produits!A36</x:f>
        <x:v>MG-BARRE-003</x:v>
      </x:c>
      <x:c r="B36" s="12" t="str">
        <x:f>Produits!B36</x:f>
        <x:v>Barre olympique</x:v>
      </x:c>
      <x:c r="C36" s="12" t="n">
        <x:f>Produits!C36</x:f>
        <x:v>3</x:v>
      </x:c>
      <x:c r="D36" s="12" t="str">
        <x:f>Produits!D36</x:f>
        <x:v>Premium</x:v>
      </x:c>
      <x:c r="E36" s="12" t="str">
        <x:f>Produits!E36</x:f>
        <x:v>GORILLA SPORTS Barre olympique longue 220 cm</x:v>
      </x:c>
      <x:c r="F36" s="12" t="str">
        <x:f>Produits!F36</x:f>
        <x:v>GORILLA SPORTS</x:v>
      </x:c>
      <x:c r="G36" s="12" t="str">
        <x:f>Produits!H36</x:f>
        <x:v>B07PYJKJFY</x:v>
      </x:c>
      <x:c r="H36" s="12" t="str">
        <x:f>Produits!I36</x:f>
        <x:v>https://www.amazon.fr/dp/B07PYJKJFY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88</x:v>
      </x:c>
      <x:c r="L36" s="12" t="str">
        <x:f>Produits!V36</x:f>
        <x:v>Très bon</x:v>
      </x:c>
      <x:c r="M36" s="12" t="str">
        <x:f>Produits!Z36</x:f>
        <x:v>Une barre très robuste destinée aux charges lourdes, avec un standard olympique de 50 mm et une capacité annoncée particulièrement élevée.</x:v>
      </x:c>
      <x:c r="N36" s="12" t="str">
        <x:f>Produits!AA36</x:f>
        <x:v>Poids standard 20 kg | Longueur 220 cm | Charge annoncée 680 kg | Manchons 50 mm | Roulement pivotant et poignées moletées</x:v>
      </x:c>
      <x:c r="O36" s="12" t="str">
        <x:f>Produits!AB36</x:f>
        <x:v>Prix plus élevé | Données d’avis variables selon la déclinaison | Moletage et rigidité potentiellement excessifs pour un débutant</x:v>
      </x:c>
      <x:c r="P36" s="12" t="str">
        <x:f>Produits!AC36</x:f>
        <x:v>Confirmé recherchant une barre robuste pour progresser sur les mouvements lourds</x:v>
      </x:c>
      <x:c r="Q36" s="12" t="str">
        <x:f>Produits!AG36</x:f>
        <x:v>Validé</x:v>
      </x:c>
    </x:row>
    <x:row r="37">
      <x:c r="A37" s="12" t="str">
        <x:f>Produits!A37</x:f>
        <x:v>MG-KETT-001</x:v>
      </x:c>
      <x:c r="B37" s="12" t="str">
        <x:f>Produits!B37</x:f>
        <x:v>Kettlebells</x:v>
      </x:c>
      <x:c r="C37" s="12" t="n">
        <x:f>Produits!C37</x:f>
        <x:v>1</x:v>
      </x:c>
      <x:c r="D37" s="12" t="str">
        <x:f>Produits!D37</x:f>
        <x:v>Choix MuscuGuide</x:v>
      </x:c>
      <x:c r="E37" s="12" t="str">
        <x:f>Produits!E37</x:f>
        <x:v>PROIRON Kettlebell 12 kg en néoprène</x:v>
      </x:c>
      <x:c r="F37" s="12" t="str">
        <x:f>Produits!F37</x:f>
        <x:v>PROIRON</x:v>
      </x:c>
      <x:c r="G37" s="12" t="str">
        <x:f>Produits!H37</x:f>
        <x:v>B09T9MY8L3</x:v>
      </x:c>
      <x:c r="H37" s="12" t="str">
        <x:f>Produits!I37</x:f>
        <x:v>https://www.amazon.fr/dp/B09T9MY8L3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92</x:v>
      </x:c>
      <x:c r="L37" s="12" t="str">
        <x:f>Produits!V37</x:f>
        <x:v>Excellent</x:v>
      </x:c>
      <x:c r="M37" s="12" t="str">
        <x:f>Produits!Z37</x:f>
        <x:v>Une kettlebell polyvalente et bien finie pour progresser sur les swings, squats et exercices de renforcement à domicile.</x:v>
      </x:c>
      <x:c r="N37" s="12" t="str">
        <x:f>Produits!AA37</x:f>
        <x:v>Fonte monobloc | Revêtement néoprène protecteur | Poignée large | Note Amazon élevée | Format 12 kg polyvalent</x:v>
      </x:c>
      <x:c r="O37" s="12" t="str">
        <x:f>Produits!AB37</x:f>
        <x:v>Poids fixe | Moins adaptée aux grands débutants | Le néoprène peut s’user avec un usage très intensif</x:v>
      </x:c>
      <x:c r="P37" s="12" t="str">
        <x:f>Produits!AC37</x:f>
        <x:v>Débutant à intermédiaire recherchant une kettlebell polyvalente pour le home gym</x:v>
      </x:c>
      <x:c r="Q37" s="12" t="str">
        <x:f>Produits!AG37</x:f>
        <x:v>Validé</x:v>
      </x:c>
    </x:row>
    <x:row r="38">
      <x:c r="A38" s="12" t="str">
        <x:f>Produits!A38</x:f>
        <x:v>MG-KETT-002</x:v>
      </x:c>
      <x:c r="B38" s="12" t="str">
        <x:f>Produits!B38</x:f>
        <x:v>Kettlebells</x:v>
      </x:c>
      <x:c r="C38" s="12" t="n">
        <x:f>Produits!C38</x:f>
        <x:v>2</x:v>
      </x:c>
      <x:c r="D38" s="12" t="str">
        <x:f>Produits!D38</x:f>
        <x:v>Meilleur rapport qualité/prix</x:v>
      </x:c>
      <x:c r="E38" s="12" t="str">
        <x:f>Produits!E38</x:f>
        <x:v>Yes4All Kettlebell en fonte avec revêtement poudre</x:v>
      </x:c>
      <x:c r="F38" s="12" t="str">
        <x:f>Produits!F38</x:f>
        <x:v>Yes4All</x:v>
      </x:c>
      <x:c r="G38" s="12" t="str">
        <x:f>Produits!H38</x:f>
        <x:v>B0DNK2V1WR</x:v>
      </x:c>
      <x:c r="H38" s="12" t="str">
        <x:f>Produits!I38</x:f>
        <x:v>https://www.amazon.fr/dp/B0DNK2V1WR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90</x:v>
      </x:c>
      <x:c r="L38" s="12" t="str">
        <x:f>Produits!V38</x:f>
        <x:v>Excellent</x:v>
      </x:c>
      <x:c r="M38" s="12" t="str">
        <x:f>Produits!Z38</x:f>
        <x:v>Une gamme populaire et accessible, avec de nombreux poids disponibles et une finition poudre adaptée aux entraînements réguliers.</x:v>
      </x:c>
      <x:c r="N38" s="12" t="str">
        <x:f>Produits!AA38</x:f>
        <x:v>Très bon rapport qualité/prix | Gamme 4 à 32 kg | 4,7/5 sur plus de 4 500 évaluations | Poignée large | Fonte sans soudure</x:v>
      </x:c>
      <x:c r="O38" s="12" t="str">
        <x:f>Produits!AB38</x:f>
        <x:v>L’ASIN correspond à une variante légère | Finition moins premium | Disponibilité variable selon le poids</x:v>
      </x:c>
      <x:c r="P38" s="12" t="str">
        <x:f>Produits!AC38</x:f>
        <x:v>Débutant à confirmé souhaitant choisir précisément son poids</x:v>
      </x:c>
      <x:c r="Q38" s="12" t="str">
        <x:f>Produits!AG38</x:f>
        <x:v>Validé</x:v>
      </x:c>
    </x:row>
    <x:row r="39">
      <x:c r="A39" s="12" t="str">
        <x:f>Produits!A39</x:f>
        <x:v>MG-KETT-003</x:v>
      </x:c>
      <x:c r="B39" s="12" t="str">
        <x:f>Produits!B39</x:f>
        <x:v>Kettlebells</x:v>
      </x:c>
      <x:c r="C39" s="12" t="n">
        <x:f>Produits!C39</x:f>
        <x:v>3</x:v>
      </x:c>
      <x:c r="D39" s="12" t="str">
        <x:f>Produits!D39</x:f>
        <x:v>Premium</x:v>
      </x:c>
      <x:c r="E39" s="12" t="str">
        <x:f>Produits!E39</x:f>
        <x:v>Kettlebell Kings Powder Coat 8 kg</x:v>
      </x:c>
      <x:c r="F39" s="12" t="str">
        <x:f>Produits!F39</x:f>
        <x:v>Kettlebell Kings</x:v>
      </x:c>
      <x:c r="G39" s="12" t="str">
        <x:f>Produits!H39</x:f>
        <x:v>B017WB2OHQ</x:v>
      </x:c>
      <x:c r="H39" s="12" t="str">
        <x:f>Produits!I39</x:f>
        <x:v>https://www.amazon.fr/dp/B017WB2OHQ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91</x:v>
      </x:c>
      <x:c r="L39" s="12" t="str">
        <x:f>Produits!V39</x:f>
        <x:v>Excellent</x:v>
      </x:c>
      <x:c r="M39" s="12" t="str">
        <x:f>Produits!Z39</x:f>
        <x:v>Une kettlebell premium en fonte monobloc, conçue pour une prise fiable et une grande durabilité lors des entraînements techniques.</x:v>
      </x:c>
      <x:c r="N39" s="12" t="str">
        <x:f>Produits!AA39</x:f>
        <x:v>Fonte moulée en une pièce | Finition poudre durable | Base plane usinée | Très bonne prise en main | Fabrication précise</x:v>
      </x:c>
      <x:c r="O39" s="12" t="str">
        <x:f>Produits!AB39</x:f>
        <x:v>Prix plus élevé | Poids fixe de 8 kg sur cet ASIN | Disponibilité parfois limitée</x:v>
      </x:c>
      <x:c r="P39" s="12" t="str">
        <x:f>Produits!AC39</x:f>
        <x:v>Intermédiaire à confirmé privilégiant la qualité de fabrication et la durabilité</x:v>
      </x:c>
      <x:c r="Q39" s="12" t="str">
        <x:f>Produits!AG39</x:f>
        <x:v>Validé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