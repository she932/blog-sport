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44c4dc921a47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c1c19aa14524c49"/>
    <x:sheet xmlns:r="http://schemas.openxmlformats.org/officeDocument/2006/relationships" name="Produits" sheetId="2" r:id="R0717cbc682e144c5"/>
    <x:sheet xmlns:r="http://schemas.openxmlformats.org/officeDocument/2006/relationships" name="Notation" sheetId="3" r:id="Rba48f9bb3e884651"/>
    <x:sheet xmlns:r="http://schemas.openxmlformats.org/officeDocument/2006/relationships" name="Import Claude" sheetId="4" r:id="Rc0ac66eb845549bd"/>
    <x:sheet xmlns:r="http://schemas.openxmlformats.org/officeDocument/2006/relationships" name="Listes" sheetId="5" r:id="R3961eff14e1743fe"/>
    <x:sheet xmlns:r="http://schemas.openxmlformats.org/officeDocument/2006/relationships" name="Mode d'emploi" sheetId="6" r:id="R1d5d1225fcaa44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3f7a3b93954009" /><Relationship Type="http://schemas.openxmlformats.org/officeDocument/2006/relationships/theme" Target="/xl/theme/theme1.xml" Id="R7dfdafe38f8c42d8" /><Relationship Type="http://schemas.openxmlformats.org/officeDocument/2006/relationships/sharedStrings" Target="/xl/sharedStrings.xml" Id="Rf5b7ffd10af549f0" /><Relationship Type="http://schemas.openxmlformats.org/officeDocument/2006/relationships/worksheet" Target="/xl/worksheets/sheet1.xml" Id="Rbc1c19aa14524c49" /><Relationship Type="http://schemas.openxmlformats.org/officeDocument/2006/relationships/worksheet" Target="/xl/worksheets/sheet2.xml" Id="R0717cbc682e144c5" /><Relationship Type="http://schemas.openxmlformats.org/officeDocument/2006/relationships/worksheet" Target="/xl/worksheets/sheet3.xml" Id="Rba48f9bb3e884651" /><Relationship Type="http://schemas.openxmlformats.org/officeDocument/2006/relationships/worksheet" Target="/xl/worksheets/sheet4.xml" Id="Rc0ac66eb845549bd" /><Relationship Type="http://schemas.openxmlformats.org/officeDocument/2006/relationships/worksheet" Target="/xl/worksheets/sheet5.xml" Id="R3961eff14e1743fe" /><Relationship Type="http://schemas.openxmlformats.org/officeDocument/2006/relationships/worksheet" Target="/xl/worksheets/sheet6.xml" Id="R1d5d1225fcaa446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ce5c658ba04fd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ce5c658ba04fd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ab862b0d7840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13c85eea3404df4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30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18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12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0</x:v>
      </x:c>
      <x:c r="F16" s="12" t="n">
        <x:f>COUNTIFS(Produits!B:B,D16,Produits!H:H,"??????????")</x:f>
        <x:v>0</x:v>
      </x:c>
      <x:c r="G16" s="12" t="n">
        <x:f>COUNTIFS(Produits!B:B,D16,Produits!AG:AG,"Validé")</x:f>
        <x:v>0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3fab862b0d78403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 t="str">
        <x:f>IF(OR(H34="",J34=""),"", "https://www.amazon.fr/dp/"&amp;H34&amp;"?tag="&amp;J34)</x:f>
      </x:c>
      <x:c r="L34" s="12"/>
      <x:c r="M34" s="36"/>
      <x:c r="N34" s="12"/>
      <x:c r="O34" s="12"/>
      <x:c r="P34" s="12"/>
      <x:c r="Q34" s="12"/>
      <x:c r="R34" s="12"/>
      <x:c r="S34" s="12"/>
      <x:c r="T34" s="12"/>
      <x:c r="U34" s="12" t="str">
        <x:f>IF(COUNTA(O34:T34)=0,"",SUM(O34:T34))</x:f>
      </x:c>
      <x:c r="V34" s="12" t="str">
        <x:f>IF(U34="","",IF(U34&gt;=95,"Exceptionnel",IF(U34&gt;=90,"Excellent",IF(U34&gt;=85,"Très bon",IF(U34&gt;=80,"Bon",IF(U34&gt;=70,"Correct","À revoir"))))))</x:f>
      </x:c>
      <x:c r="W34" s="12"/>
      <x:c r="X34" s="12"/>
      <x:c r="Y34" s="12"/>
      <x:c r="Z34" s="12"/>
      <x:c r="AA34" s="12"/>
      <x:c r="AB34" s="12"/>
      <x:c r="AC34" s="12"/>
      <x:c r="AD34" s="12"/>
      <x:c r="AE34" s="38"/>
      <x:c r="AF34" s="40"/>
      <x:c r="AG34" s="12"/>
      <x:c r="AH34" s="12"/>
      <x:c r="AI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 t="str">
        <x:f>IF(OR(H35="",J35=""),"", "https://www.amazon.fr/dp/"&amp;H35&amp;"?tag="&amp;J35)</x:f>
      </x:c>
      <x:c r="L35" s="12"/>
      <x:c r="M35" s="36"/>
      <x:c r="N35" s="12"/>
      <x:c r="O35" s="12"/>
      <x:c r="P35" s="12"/>
      <x:c r="Q35" s="12"/>
      <x:c r="R35" s="12"/>
      <x:c r="S35" s="12"/>
      <x:c r="T35" s="12"/>
      <x:c r="U35" s="12" t="str">
        <x:f>IF(COUNTA(O35:T35)=0,"",SUM(O35:T35))</x:f>
      </x:c>
      <x:c r="V35" s="12" t="str">
        <x:f>IF(U35="","",IF(U35&gt;=95,"Exceptionnel",IF(U35&gt;=90,"Excellent",IF(U35&gt;=85,"Très bon",IF(U35&gt;=80,"Bon",IF(U35&gt;=70,"Correct","À revoir"))))))</x:f>
      </x:c>
      <x:c r="W35" s="12"/>
      <x:c r="X35" s="12"/>
      <x:c r="Y35" s="12"/>
      <x:c r="Z35" s="12"/>
      <x:c r="AA35" s="12"/>
      <x:c r="AB35" s="12"/>
      <x:c r="AC35" s="12"/>
      <x:c r="AD35" s="12"/>
      <x:c r="AE35" s="38"/>
      <x:c r="AF35" s="40"/>
      <x:c r="AG35" s="12"/>
      <x:c r="AH35" s="12"/>
      <x:c r="AI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 t="str">
        <x:f>IF(OR(H36="",J36=""),"", "https://www.amazon.fr/dp/"&amp;H36&amp;"?tag="&amp;J36)</x:f>
      </x:c>
      <x:c r="L36" s="12"/>
      <x:c r="M36" s="36"/>
      <x:c r="N36" s="12"/>
      <x:c r="O36" s="12"/>
      <x:c r="P36" s="12"/>
      <x:c r="Q36" s="12"/>
      <x:c r="R36" s="12"/>
      <x:c r="S36" s="12"/>
      <x:c r="T36" s="12"/>
      <x:c r="U36" s="12" t="str">
        <x:f>IF(COUNTA(O36:T36)=0,"",SUM(O36:T36))</x:f>
      </x:c>
      <x:c r="V36" s="12" t="str">
        <x:f>IF(U36="","",IF(U36&gt;=95,"Exceptionnel",IF(U36&gt;=90,"Excellent",IF(U36&gt;=85,"Très bon",IF(U36&gt;=80,"Bon",IF(U36&gt;=70,"Correct","À revoir"))))))</x:f>
      </x:c>
      <x:c r="W36" s="12"/>
      <x:c r="X36" s="12"/>
      <x:c r="Y36" s="12"/>
      <x:c r="Z36" s="12"/>
      <x:c r="AA36" s="12"/>
      <x:c r="AB36" s="12"/>
      <x:c r="AC36" s="12"/>
      <x:c r="AD36" s="12"/>
      <x:c r="AE36" s="38"/>
      <x:c r="AF36" s="40"/>
      <x:c r="AG36" s="12"/>
      <x:c r="AH36" s="12"/>
      <x:c r="AI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13c85eea3404df4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str">
        <x:f>Produits!U27</x:f>
      </x:c>
      <x:c r="L27" s="12" t="str">
        <x:f>Produits!V27</x:f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n">
        <x:f>Produits!A34</x:f>
        <x:v>0</x:v>
      </x:c>
      <x:c r="B34" s="12" t="n">
        <x:f>Produits!B34</x:f>
        <x:v>0</x:v>
      </x:c>
      <x:c r="C34" s="12" t="n">
        <x:f>Produits!C34</x:f>
        <x:v>0</x:v>
      </x:c>
      <x:c r="D34" s="12" t="n">
        <x:f>Produits!D34</x:f>
        <x:v>0</x:v>
      </x:c>
      <x:c r="E34" s="12" t="n">
        <x:f>Produits!E34</x:f>
        <x:v>0</x:v>
      </x:c>
      <x:c r="F34" s="12" t="n">
        <x:f>Produits!F34</x:f>
        <x:v>0</x:v>
      </x:c>
      <x:c r="G34" s="12" t="n">
        <x:f>Produits!H34</x:f>
        <x:v>0</x:v>
      </x:c>
      <x:c r="H34" s="12" t="n">
        <x:f>Produits!I34</x:f>
        <x:v>0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0</x:v>
      </x:c>
      <x:c r="L34" s="12" t="n">
        <x:f>Produits!V34</x:f>
        <x:v>0</x:v>
      </x:c>
      <x:c r="M34" s="12" t="n">
        <x:f>Produits!Z34</x:f>
        <x:v>0</x:v>
      </x:c>
      <x:c r="N34" s="12" t="n">
        <x:f>Produits!AA34</x:f>
        <x:v>0</x:v>
      </x:c>
      <x:c r="O34" s="12" t="n">
        <x:f>Produits!AB34</x:f>
        <x:v>0</x:v>
      </x:c>
      <x:c r="P34" s="12" t="n">
        <x:f>Produits!AC34</x:f>
        <x:v>0</x:v>
      </x:c>
      <x:c r="Q34" s="12" t="n">
        <x:f>Produits!AG34</x:f>
        <x:v>0</x:v>
      </x:c>
    </x:row>
    <x:row r="35">
      <x:c r="A35" s="12" t="n">
        <x:f>Produits!A35</x:f>
        <x:v>0</x:v>
      </x:c>
      <x:c r="B35" s="12" t="n">
        <x:f>Produits!B35</x:f>
        <x:v>0</x:v>
      </x:c>
      <x:c r="C35" s="12" t="n">
        <x:f>Produits!C35</x:f>
        <x:v>0</x:v>
      </x:c>
      <x:c r="D35" s="12" t="n">
        <x:f>Produits!D35</x:f>
        <x:v>0</x:v>
      </x:c>
      <x:c r="E35" s="12" t="n">
        <x:f>Produits!E35</x:f>
        <x:v>0</x:v>
      </x:c>
      <x:c r="F35" s="12" t="n">
        <x:f>Produits!F35</x:f>
        <x:v>0</x:v>
      </x:c>
      <x:c r="G35" s="12" t="n">
        <x:f>Produits!H35</x:f>
        <x:v>0</x:v>
      </x:c>
      <x:c r="H35" s="12" t="n">
        <x:f>Produits!I35</x:f>
        <x:v>0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0</x:v>
      </x:c>
      <x:c r="L35" s="12" t="n">
        <x:f>Produits!V35</x:f>
        <x:v>0</x:v>
      </x:c>
      <x:c r="M35" s="12" t="n">
        <x:f>Produits!Z35</x:f>
        <x:v>0</x:v>
      </x:c>
      <x:c r="N35" s="12" t="n">
        <x:f>Produits!AA35</x:f>
        <x:v>0</x:v>
      </x:c>
      <x:c r="O35" s="12" t="n">
        <x:f>Produits!AB35</x:f>
        <x:v>0</x:v>
      </x:c>
      <x:c r="P35" s="12" t="n">
        <x:f>Produits!AC35</x:f>
        <x:v>0</x:v>
      </x:c>
      <x:c r="Q35" s="12" t="n">
        <x:f>Produits!AG35</x:f>
        <x:v>0</x:v>
      </x:c>
    </x:row>
    <x:row r="36">
      <x:c r="A36" s="12" t="n">
        <x:f>Produits!A36</x:f>
        <x:v>0</x:v>
      </x:c>
      <x:c r="B36" s="12" t="n">
        <x:f>Produits!B36</x:f>
        <x:v>0</x:v>
      </x:c>
      <x:c r="C36" s="12" t="n">
        <x:f>Produits!C36</x:f>
        <x:v>0</x:v>
      </x:c>
      <x:c r="D36" s="12" t="n">
        <x:f>Produits!D36</x:f>
        <x:v>0</x:v>
      </x:c>
      <x:c r="E36" s="12" t="n">
        <x:f>Produits!E36</x:f>
        <x:v>0</x:v>
      </x:c>
      <x:c r="F36" s="12" t="n">
        <x:f>Produits!F36</x:f>
        <x:v>0</x:v>
      </x:c>
      <x:c r="G36" s="12" t="n">
        <x:f>Produits!H36</x:f>
        <x:v>0</x:v>
      </x:c>
      <x:c r="H36" s="12" t="n">
        <x:f>Produits!I36</x:f>
        <x:v>0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0</x:v>
      </x:c>
      <x:c r="L36" s="12" t="n">
        <x:f>Produits!V36</x:f>
        <x:v>0</x:v>
      </x:c>
      <x:c r="M36" s="12" t="n">
        <x:f>Produits!Z36</x:f>
        <x:v>0</x:v>
      </x:c>
      <x:c r="N36" s="12" t="n">
        <x:f>Produits!AA36</x:f>
        <x:v>0</x:v>
      </x:c>
      <x:c r="O36" s="12" t="n">
        <x:f>Produits!AB36</x:f>
        <x:v>0</x:v>
      </x:c>
      <x:c r="P36" s="12" t="n">
        <x:f>Produits!AC36</x:f>
        <x:v>0</x:v>
      </x:c>
      <x:c r="Q36" s="12" t="n">
        <x:f>Produits!AG36</x:f>
        <x:v>0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