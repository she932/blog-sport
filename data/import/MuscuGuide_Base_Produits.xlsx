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086cecffe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c1457e6c9c941ee"/>
    <x:sheet xmlns:r="http://schemas.openxmlformats.org/officeDocument/2006/relationships" name="Produits" sheetId="2" r:id="Rb65f86ea3de24f9d"/>
    <x:sheet xmlns:r="http://schemas.openxmlformats.org/officeDocument/2006/relationships" name="Notation" sheetId="3" r:id="R5e25b3bbe1754b39"/>
    <x:sheet xmlns:r="http://schemas.openxmlformats.org/officeDocument/2006/relationships" name="Import Claude" sheetId="4" r:id="Rc0a76878b93943da"/>
    <x:sheet xmlns:r="http://schemas.openxmlformats.org/officeDocument/2006/relationships" name="Listes" sheetId="5" r:id="Rb401f7a14e464a17"/>
    <x:sheet xmlns:r="http://schemas.openxmlformats.org/officeDocument/2006/relationships" name="Mode d'emploi" sheetId="6" r:id="R9032eecde863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0.0"/>
    <x:numFmt numFmtId="203" formatCode="yyyy-mm-dd"/>
    <x:numFmt numFmtId="204" formatCode="0%"/>
  </x:numFmts>
  <x:fonts count="5">
    <x:font>
      <x:sz val="11"/>
      <x:name val="Carlito"/>
    </x:font>
    <x:font>
      <x:b/>
      <x:sz val="10"/>
      <x:color rgb="FFFFFFFF"/>
      <x:name val="Carlito"/>
    </x:font>
    <x:font>
      <x:b/>
      <x:sz val="20"/>
      <x:color rgb="FFFFFFFF"/>
      <x:name val="Carlito"/>
    </x:font>
    <x:font>
      <x:b/>
      <x:sz val="12"/>
      <x:color rgb="FFFFFFFF"/>
      <x:name val="Carlito"/>
    </x:font>
    <x:font>
      <x:b/>
      <x:sz val="11"/>
      <x:color rgb="FF721C2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7A1A"/>
      </x:patternFill>
    </x:fill>
    <x:fill>
      <x:patternFill patternType="solid">
        <x:fgColor rgb="FF0B1630"/>
      </x:patternFill>
    </x:fill>
    <x:fill>
      <x:patternFill patternType="solid">
        <x:fgColor rgb="FF152744"/>
      </x:patternFill>
    </x:fill>
    <x:fill>
      <x:patternFill patternType="solid">
        <x:fgColor rgb="FFF8D7DA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200" fontId="3" fillId="4" borderId="0" xfId="0" applyNumberFormat="1" applyFont="1" applyFill="1" applyBorder="1" applyAlignment="1">
      <x:alignment horizontal="left" vertical="center"/>
    </x:xf>
    <x:xf numFmtId="200" fontId="3" fillId="4" borderId="1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 wrapText="1"/>
    </x:xf>
    <x:xf numFmtId="200" fontId="3" fillId="4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200" fontId="3" fillId="4" borderId="1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55724"/>
      </x:font>
      <x:fill>
        <x:patternFill patternType="solid">
          <x:bgColor rgb="FFD4EDDA"/>
        </x:patternFill>
      </x:fill>
    </x:dxf>
    <x:dxf>
      <x:font>
        <x:color rgb="FF856404"/>
      </x:font>
      <x:fill>
        <x:patternFill patternType="solid">
          <x:bgColor rgb="FFFFF3CD"/>
        </x:patternFill>
      </x:fill>
    </x:dxf>
    <x:dxf>
      <x:font>
        <x:color rgb="FF721C24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72bb47c7b4762" /><Relationship Type="http://schemas.openxmlformats.org/officeDocument/2006/relationships/theme" Target="/xl/theme/theme1.xml" Id="R12db0f130c3a4f65" /><Relationship Type="http://schemas.openxmlformats.org/officeDocument/2006/relationships/sharedStrings" Target="/xl/sharedStrings.xml" Id="Rc67b7ae40dab45e9" /><Relationship Type="http://schemas.openxmlformats.org/officeDocument/2006/relationships/worksheet" Target="/xl/worksheets/sheet1.xml" Id="Rfc1457e6c9c941ee" /><Relationship Type="http://schemas.openxmlformats.org/officeDocument/2006/relationships/worksheet" Target="/xl/worksheets/sheet2.xml" Id="Rb65f86ea3de24f9d" /><Relationship Type="http://schemas.openxmlformats.org/officeDocument/2006/relationships/worksheet" Target="/xl/worksheets/sheet3.xml" Id="R5e25b3bbe1754b39" /><Relationship Type="http://schemas.openxmlformats.org/officeDocument/2006/relationships/worksheet" Target="/xl/worksheets/sheet4.xml" Id="Rc0a76878b93943da" /><Relationship Type="http://schemas.openxmlformats.org/officeDocument/2006/relationships/worksheet" Target="/xl/worksheets/sheet5.xml" Id="Rb401f7a14e464a17" /><Relationship Type="http://schemas.openxmlformats.org/officeDocument/2006/relationships/worksheet" Target="/xl/worksheets/sheet6.xml" Id="R9032eecde86345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5b0a56faf14e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Avancement ASIN — premières catégories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'Dashboard'!$D$4:$D$11</c:f>
              <c:strCache>
                <c:ptCount val="0"/>
              </c:strCache>
            </c:strRef>
          </c:cat>
          <c:val>
            <c:numRef>
              <c:f>'Dashboard'!$E$4:$E$11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ASIN</c:v>
          </c:tx>
          <c:cat>
            <c:strRef>
              <c:f>'Dashboard'!$D$4:$D$11</c:f>
              <c:strCache>
                <c:ptCount val="0"/>
              </c:strCache>
            </c:strRef>
          </c:cat>
          <c:val>
            <c:numRef>
              <c:f>'Dashboard'!$F$4:$F$11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5b0a56faf14e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uscuGuideProducts" displayName="MuscuGuideProducts" ref="A3:AI27" headerRowCount="1">
  <x:tableColumns count="35">
    <x:tableColumn id="1" name="ID"/>
    <x:tableColumn id="2" name="Catégorie"/>
    <x:tableColumn id="3" name="Rang"/>
    <x:tableColumn id="4" name="Badge"/>
    <x:tableColumn id="5" name="Produit"/>
    <x:tableColumn id="6" name="Marque"/>
    <x:tableColumn id="7" name="Variante / modèle"/>
    <x:tableColumn id="8" name="ASIN FR"/>
    <x:tableColumn id="9" name="URL Amazon FR"/>
    <x:tableColumn id="10" name="Tag affilié"/>
    <x:tableColumn id="11" name="Lien affilié final"/>
    <x:tableColumn id="12" name="Image URL / PA-API"/>
    <x:tableColumn id="13" name="Prix indicatif interne (€)"/>
    <x:tableColumn id="14" name="Budget"/>
    <x:tableColumn id="15" name="Note qualité /25"/>
    <x:tableColumn id="16" name="Note rapport Q/P /25"/>
    <x:tableColumn id="17" name="Note avis /20"/>
    <x:tableColumn id="18" name="Note fonctionnalités /15"/>
    <x:tableColumn id="19" name="Note durabilité /10"/>
    <x:tableColumn id="20" name="Note SAV /5"/>
    <x:tableColumn id="21" name="Score MuscuGuide /100"/>
    <x:tableColumn id="22" name="Verdict"/>
    <x:tableColumn id="23" name="Débutant"/>
    <x:tableColumn id="24" name="Intermédiaire"/>
    <x:tableColumn id="25" name="Confirmé"/>
    <x:tableColumn id="26" name="Résumé court"/>
    <x:tableColumn id="27" name="Points forts"/>
    <x:tableColumn id="28" name="Points faibles"/>
    <x:tableColumn id="29" name="Profil idéal"/>
    <x:tableColumn id="30" name="Nombre d'avis"/>
    <x:tableColumn id="31" name="Note Amazon"/>
    <x:tableColumn id="32" name="Date dernière vérification"/>
    <x:tableColumn id="33" name="Statut"/>
    <x:tableColumn id="34" name="Source produit"/>
    <x:tableColumn id="35" name="Remarq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64c95332a543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206decd1424a68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8" hidden="0" customWidth="1"/>
    <x:col min="4" max="4" width="2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7" t="str">
        <x:v>MUSCUGUIDE — TABLEAU DE BORD PRODUITS</x:v>
      </x:c>
      <x:c r="B1" s="17"/>
      <x:c r="C1" s="17"/>
      <x:c r="D1" s="17"/>
      <x:c r="E1" s="17"/>
      <x:c r="F1" s="17"/>
      <x:c r="G1" s="17"/>
      <x:c r="H1" s="17"/>
    </x:row>
    <x:row r="3">
      <x:c r="A3" s="6" t="str">
        <x:v>KPI</x:v>
      </x:c>
      <x:c r="B3" s="6" t="str">
        <x:v>Valeur</x:v>
      </x:c>
      <x:c r="C3" s="12"/>
      <x:c r="D3" s="6" t="str">
        <x:v>Catégorie</x:v>
      </x:c>
      <x:c r="E3" s="6" t="str">
        <x:v>Total</x:v>
      </x:c>
      <x:c r="F3" s="6" t="str">
        <x:v>ASIN</x:v>
      </x:c>
      <x:c r="G3" s="6" t="str">
        <x:v>Validés</x:v>
      </x:c>
      <x:c r="H3" s="6" t="str">
        <x:v>Progression</x:v>
      </x:c>
    </x:row>
    <x:row r="4">
      <x:c r="A4" s="12" t="str">
        <x:v>Produits renseignés</x:v>
      </x:c>
      <x:c r="B4" s="12" t="n">
        <x:f>COUNTA(Produits!E4:E250)</x:f>
        <x:v>24</x:v>
      </x:c>
      <x:c r="C4" s="12"/>
      <x:c r="D4" s="12" t="str">
        <x:f>Listes!E2</x:f>
        <x:v>Whey protéine</x:v>
      </x:c>
      <x:c r="E4" s="12" t="n">
        <x:f>COUNTIF(Produits!B:B,D4)</x:f>
        <x:v>3</x:v>
      </x:c>
      <x:c r="F4" s="12" t="n">
        <x:f>COUNTIFS(Produits!B:B,D4,Produits!H:H,"??????????")</x:f>
        <x:v>0</x:v>
      </x:c>
      <x:c r="G4" s="12" t="n">
        <x:f>COUNTIFS(Produits!B:B,D4,Produits!AG:AG,"Validé")</x:f>
        <x:v>0</x:v>
      </x:c>
      <x:c r="H4" s="46" t="n">
        <x:f>IFERROR(F4/E4,0)</x:f>
        <x:v>0</x:v>
      </x:c>
    </x:row>
    <x:row r="5">
      <x:c r="A5" s="12" t="str">
        <x:v>ASIN renseignés</x:v>
      </x:c>
      <x:c r="B5" s="12" t="n">
        <x:f>COUNTIF(Produits!H4:H250,"??????????")</x:f>
        <x:v>0</x:v>
      </x:c>
      <x:c r="C5" s="12"/>
      <x:c r="D5" s="12" t="str">
        <x:f>Listes!E3</x:f>
        <x:v>Créatine</x:v>
      </x:c>
      <x:c r="E5" s="12" t="n">
        <x:f>COUNTIF(Produits!B:B,D5)</x:f>
        <x:v>3</x:v>
      </x:c>
      <x:c r="F5" s="12" t="n">
        <x:f>COUNTIFS(Produits!B:B,D5,Produits!H:H,"??????????")</x:f>
        <x:v>0</x:v>
      </x:c>
      <x:c r="G5" s="12" t="n">
        <x:f>COUNTIFS(Produits!B:B,D5,Produits!AG:AG,"Validé")</x:f>
        <x:v>0</x:v>
      </x:c>
      <x:c r="H5" s="46" t="n">
        <x:f>IFERROR(F5/E5,0)</x:f>
        <x:v>0</x:v>
      </x:c>
    </x:row>
    <x:row r="6">
      <x:c r="A6" s="12" t="str">
        <x:v>Produits validés</x:v>
      </x:c>
      <x:c r="B6" s="12" t="n">
        <x:f>COUNTIF(Produits!AG4:AG250,"Validé")</x:f>
        <x:v>0</x:v>
      </x:c>
      <x:c r="C6" s="12"/>
      <x:c r="D6" s="12" t="str">
        <x:f>Listes!E4</x:f>
        <x:v>Pré-workout</x:v>
      </x:c>
      <x:c r="E6" s="12" t="n">
        <x:f>COUNTIF(Produits!B:B,D6)</x:f>
        <x:v>0</x:v>
      </x:c>
      <x:c r="F6" s="12" t="n">
        <x:f>COUNTIFS(Produits!B:B,D6,Produits!H:H,"??????????")</x:f>
        <x:v>0</x:v>
      </x:c>
      <x:c r="G6" s="12" t="n">
        <x:f>COUNTIFS(Produits!B:B,D6,Produits!AG:AG,"Validé")</x:f>
        <x:v>0</x:v>
      </x:c>
      <x:c r="H6" s="46" t="n">
        <x:f>IFERROR(F6/E6,0)</x:f>
        <x:v>0</x:v>
      </x:c>
    </x:row>
    <x:row r="7">
      <x:c r="A7" s="12" t="str">
        <x:v>À rechercher</x:v>
      </x:c>
      <x:c r="B7" s="12" t="n">
        <x:f>COUNTIF(Produits!AG4:AG250,"À rechercher")</x:f>
        <x:v>24</x:v>
      </x:c>
      <x:c r="C7" s="12"/>
      <x:c r="D7" s="12" t="str">
        <x:f>Listes!E5</x:f>
        <x:v>Shakers</x:v>
      </x:c>
      <x:c r="E7" s="12" t="n">
        <x:f>COUNTIF(Produits!B:B,D7)</x:f>
        <x:v>0</x:v>
      </x:c>
      <x:c r="F7" s="12" t="n">
        <x:f>COUNTIFS(Produits!B:B,D7,Produits!H:H,"??????????")</x:f>
        <x:v>0</x:v>
      </x:c>
      <x:c r="G7" s="12" t="n">
        <x:f>COUNTIFS(Produits!B:B,D7,Produits!AG:AG,"Validé")</x:f>
        <x:v>0</x:v>
      </x:c>
      <x:c r="H7" s="46" t="n">
        <x:f>IFERROR(F7/E7,0)</x:f>
        <x:v>0</x:v>
      </x:c>
    </x:row>
    <x:row r="8">
      <x:c r="A8" s="12" t="str">
        <x:v>Score moyen</x:v>
      </x:c>
      <x:c r="B8" s="38" t="n">
        <x:f>IFERROR(AVERAGE(Produits!U4:U250),0)</x:f>
        <x:v>0</x:v>
      </x:c>
      <x:c r="C8" s="12"/>
      <x:c r="D8" s="12" t="str">
        <x:f>Listes!E6</x:f>
        <x:v>Haltères réglables</x:v>
      </x:c>
      <x:c r="E8" s="12" t="n">
        <x:f>COUNTIF(Produits!B:B,D8)</x:f>
        <x:v>3</x:v>
      </x:c>
      <x:c r="F8" s="12" t="n">
        <x:f>COUNTIFS(Produits!B:B,D8,Produits!H:H,"??????????")</x:f>
        <x:v>0</x:v>
      </x:c>
      <x:c r="G8" s="12" t="n">
        <x:f>COUNTIFS(Produits!B:B,D8,Produits!AG:AG,"Validé")</x:f>
        <x:v>0</x:v>
      </x:c>
      <x:c r="H8" s="46" t="n">
        <x:f>IFERROR(F8/E8,0)</x:f>
        <x:v>0</x:v>
      </x:c>
    </x:row>
    <x:row r="9">
      <x:c r="A9" s="12" t="str">
        <x:v>Catégories couvertes</x:v>
      </x:c>
      <x:c r="B9" s="12" t="n">
        <x:f>COUNTA(Listes!E2:E21)</x:f>
        <x:v>20</x:v>
      </x:c>
      <x:c r="C9" s="12"/>
      <x:c r="D9" s="12" t="str">
        <x:f>Listes!E7</x:f>
        <x:v>Banc de musculation</x:v>
      </x:c>
      <x:c r="E9" s="12" t="n">
        <x:f>COUNTIF(Produits!B:B,D9)</x:f>
        <x:v>3</x:v>
      </x:c>
      <x:c r="F9" s="12" t="n">
        <x:f>COUNTIFS(Produits!B:B,D9,Produits!H:H,"??????????")</x:f>
        <x:v>0</x:v>
      </x:c>
      <x:c r="G9" s="12" t="n">
        <x:f>COUNTIFS(Produits!B:B,D9,Produits!AG:AG,"Validé")</x:f>
        <x:v>0</x:v>
      </x:c>
      <x:c r="H9" s="46" t="n">
        <x:f>IFERROR(F9/E9,0)</x:f>
        <x:v>0</x:v>
      </x:c>
    </x:row>
    <x:row r="10">
      <x:c r="A10" s="12" t="str">
        <x:v>Progression ASIN</x:v>
      </x:c>
      <x:c r="B10" s="46" t="n">
        <x:f>IFERROR(B5/B4,0)</x:f>
        <x:v>0</x:v>
      </x:c>
      <x:c r="C10" s="12"/>
      <x:c r="D10" s="12" t="str">
        <x:f>Listes!E8</x:f>
        <x:v>Rack à squat</x:v>
      </x:c>
      <x:c r="E10" s="12" t="n">
        <x:f>COUNTIF(Produits!B:B,D10)</x:f>
        <x:v>0</x:v>
      </x:c>
      <x:c r="F10" s="12" t="n">
        <x:f>COUNTIFS(Produits!B:B,D10,Produits!H:H,"??????????")</x:f>
        <x:v>0</x:v>
      </x:c>
      <x:c r="G10" s="12" t="n">
        <x:f>COUNTIFS(Produits!B:B,D10,Produits!AG:AG,"Validé")</x:f>
        <x:v>0</x:v>
      </x:c>
      <x:c r="H10" s="46" t="n">
        <x:f>IFERROR(F10/E10,0)</x:f>
        <x:v>0</x:v>
      </x:c>
    </x:row>
    <x:row r="11">
      <x:c r="A11" s="12"/>
      <x:c r="B11" s="12"/>
      <x:c r="C11" s="12"/>
      <x:c r="D11" s="12" t="str">
        <x:f>Listes!E9</x:f>
        <x:v>Station Home Gym</x:v>
      </x:c>
      <x:c r="E11" s="12" t="n">
        <x:f>COUNTIF(Produits!B:B,D11)</x:f>
        <x:v>0</x:v>
      </x:c>
      <x:c r="F11" s="12" t="n">
        <x:f>COUNTIFS(Produits!B:B,D11,Produits!H:H,"??????????")</x:f>
        <x:v>0</x:v>
      </x:c>
      <x:c r="G11" s="12" t="n">
        <x:f>COUNTIFS(Produits!B:B,D11,Produits!AG:AG,"Validé")</x:f>
        <x:v>0</x:v>
      </x:c>
      <x:c r="H11" s="46" t="n">
        <x:f>IFERROR(F11/E11,0)</x:f>
        <x:v>0</x:v>
      </x:c>
    </x:row>
    <x:row r="12">
      <x:c r="A12" s="12"/>
      <x:c r="B12" s="12"/>
      <x:c r="C12" s="12"/>
      <x:c r="D12" s="12" t="str">
        <x:f>Listes!E10</x:f>
        <x:v>Tapis de course pliable</x:v>
      </x:c>
      <x:c r="E12" s="12" t="n">
        <x:f>COUNTIF(Produits!B:B,D12)</x:f>
        <x:v>3</x:v>
      </x:c>
      <x:c r="F12" s="12" t="n">
        <x:f>COUNTIFS(Produits!B:B,D12,Produits!H:H,"??????????")</x:f>
        <x:v>0</x:v>
      </x:c>
      <x:c r="G12" s="12" t="n">
        <x:f>COUNTIFS(Produits!B:B,D12,Produits!AG:AG,"Validé")</x:f>
        <x:v>0</x:v>
      </x:c>
      <x:c r="H12" s="46" t="n">
        <x:f>IFERROR(F12/E12,0)</x:f>
        <x:v>0</x:v>
      </x:c>
    </x:row>
    <x:row r="13">
      <x:c r="A13" s="6" t="str">
        <x:v>Règle de lancement</x:v>
      </x:c>
      <x:c r="B13" s="6" t="str">
        <x:v>Critère</x:v>
      </x:c>
      <x:c r="C13" s="12"/>
      <x:c r="D13" s="12" t="str">
        <x:f>Listes!E11</x:f>
        <x:v>Vélo d'appartement</x:v>
      </x:c>
      <x:c r="E13" s="12" t="n">
        <x:f>COUNTIF(Produits!B:B,D13)</x:f>
        <x:v>3</x:v>
      </x:c>
      <x:c r="F13" s="12" t="n">
        <x:f>COUNTIFS(Produits!B:B,D13,Produits!H:H,"??????????")</x:f>
        <x:v>0</x:v>
      </x:c>
      <x:c r="G13" s="12" t="n">
        <x:f>COUNTIFS(Produits!B:B,D13,Produits!AG:AG,"Validé")</x:f>
        <x:v>0</x:v>
      </x:c>
      <x:c r="H13" s="46" t="n">
        <x:f>IFERROR(F13/E13,0)</x:f>
        <x:v>0</x:v>
      </x:c>
    </x:row>
    <x:row r="14">
      <x:c r="A14" s="12" t="str">
        <x:v>ASIN</x:v>
      </x:c>
      <x:c r="B14" s="12" t="str">
        <x:v>Obligatoire avant intégration</x:v>
      </x:c>
      <x:c r="C14" s="12"/>
      <x:c r="D14" s="12" t="str">
        <x:f>Listes!E12</x:f>
        <x:v>Montre cardio</x:v>
      </x:c>
      <x:c r="E14" s="12" t="n">
        <x:f>COUNTIF(Produits!B:B,D14)</x:f>
        <x:v>3</x:v>
      </x:c>
      <x:c r="F14" s="12" t="n">
        <x:f>COUNTIFS(Produits!B:B,D14,Produits!H:H,"??????????")</x:f>
        <x:v>0</x:v>
      </x:c>
      <x:c r="G14" s="12" t="n">
        <x:f>COUNTIFS(Produits!B:B,D14,Produits!AG:AG,"Validé")</x:f>
        <x:v>0</x:v>
      </x:c>
      <x:c r="H14" s="46" t="n">
        <x:f>IFERROR(F14/E14,0)</x:f>
        <x:v>0</x:v>
      </x:c>
    </x:row>
    <x:row r="15">
      <x:c r="A15" s="12" t="str">
        <x:v>Statut</x:v>
      </x:c>
      <x:c r="B15" s="12" t="str">
        <x:v>Validé ou À intégrer</x:v>
      </x:c>
      <x:c r="C15" s="12"/>
      <x:c r="D15" s="12" t="str">
        <x:f>Listes!E13</x:f>
        <x:v>Kettlebells</x:v>
      </x:c>
      <x:c r="E15" s="12" t="n">
        <x:f>COUNTIF(Produits!B:B,D15)</x:f>
        <x:v>0</x:v>
      </x:c>
      <x:c r="F15" s="12" t="n">
        <x:f>COUNTIFS(Produits!B:B,D15,Produits!H:H,"??????????")</x:f>
        <x:v>0</x:v>
      </x:c>
      <x:c r="G15" s="12" t="n">
        <x:f>COUNTIFS(Produits!B:B,D15,Produits!AG:AG,"Validé")</x:f>
        <x:v>0</x:v>
      </x:c>
      <x:c r="H15" s="46" t="n">
        <x:f>IFERROR(F15/E15,0)</x:f>
        <x:v>0</x:v>
      </x:c>
    </x:row>
    <x:row r="16">
      <x:c r="A16" s="12" t="str">
        <x:v>Prix</x:v>
      </x:c>
      <x:c r="B16" s="12" t="str">
        <x:v>Ne pas afficher de prix fixe sans PA-API</x:v>
      </x:c>
      <x:c r="C16" s="12"/>
      <x:c r="D16" s="12" t="str">
        <x:f>Listes!E14</x:f>
        <x:v>Barre olympique</x:v>
      </x:c>
      <x:c r="E16" s="12" t="n">
        <x:f>COUNTIF(Produits!B:B,D16)</x:f>
        <x:v>0</x:v>
      </x:c>
      <x:c r="F16" s="12" t="n">
        <x:f>COUNTIFS(Produits!B:B,D16,Produits!H:H,"??????????")</x:f>
        <x:v>0</x:v>
      </x:c>
      <x:c r="G16" s="12" t="n">
        <x:f>COUNTIFS(Produits!B:B,D16,Produits!AG:AG,"Validé")</x:f>
        <x:v>0</x:v>
      </x:c>
      <x:c r="H16" s="46" t="n">
        <x:f>IFERROR(F16/E16,0)</x:f>
        <x:v>0</x:v>
      </x:c>
    </x:row>
    <x:row r="17">
      <x:c r="A17" s="12" t="str">
        <x:v>Images</x:v>
      </x:c>
      <x:c r="B17" s="12" t="str">
        <x:v>Utiliser PA-API / source autorisée</x:v>
      </x:c>
      <x:c r="C17" s="12"/>
      <x:c r="D17" s="12" t="str">
        <x:f>Listes!E15</x:f>
        <x:v>Tapis de fitness</x:v>
      </x:c>
      <x:c r="E17" s="12" t="n">
        <x:f>COUNTIF(Produits!B:B,D17)</x:f>
        <x:v>0</x:v>
      </x:c>
      <x:c r="F17" s="12" t="n">
        <x:f>COUNTIFS(Produits!B:B,D17,Produits!H:H,"??????????")</x:f>
        <x:v>0</x:v>
      </x:c>
      <x:c r="G17" s="12" t="n">
        <x:f>COUNTIFS(Produits!B:B,D17,Produits!AG:AG,"Validé")</x:f>
        <x:v>0</x:v>
      </x:c>
      <x:c r="H17" s="46" t="n">
        <x:f>IFERROR(F17/E17,0)</x:f>
        <x:v>0</x:v>
      </x:c>
    </x:row>
    <x:row r="18">
      <x:c r="A18" s="12" t="str">
        <x:v>Affiliation</x:v>
      </x:c>
      <x:c r="B18" s="12" t="str">
        <x:v>Ajouter tag et rel=sponsored nofollow noopener</x:v>
      </x:c>
      <x:c r="C18" s="12"/>
      <x:c r="D18" s="12" t="str">
        <x:f>Listes!E16</x:f>
        <x:v>Sangles de tirage</x:v>
      </x:c>
      <x:c r="E18" s="12" t="n">
        <x:f>COUNTIF(Produits!B:B,D18)</x:f>
        <x:v>0</x:v>
      </x:c>
      <x:c r="F18" s="12" t="n">
        <x:f>COUNTIFS(Produits!B:B,D18,Produits!H:H,"??????????")</x:f>
        <x:v>0</x:v>
      </x:c>
      <x:c r="G18" s="12" t="n">
        <x:f>COUNTIFS(Produits!B:B,D18,Produits!AG:AG,"Validé")</x:f>
        <x:v>0</x:v>
      </x:c>
      <x:c r="H18" s="46" t="n">
        <x:f>IFERROR(F18/E18,0)</x:f>
        <x:v>0</x:v>
      </x:c>
    </x:row>
    <x:row r="19">
      <x:c r="A19" s="12"/>
      <x:c r="B19" s="12"/>
      <x:c r="C19" s="12"/>
      <x:c r="D19" s="12" t="str">
        <x:f>Listes!E17</x:f>
        <x:v>Roue à abdos</x:v>
      </x:c>
      <x:c r="E19" s="12" t="n">
        <x:f>COUNTIF(Produits!B:B,D19)</x:f>
        <x:v>0</x:v>
      </x:c>
      <x:c r="F19" s="12" t="n">
        <x:f>COUNTIFS(Produits!B:B,D19,Produits!H:H,"??????????")</x:f>
        <x:v>0</x:v>
      </x:c>
      <x:c r="G19" s="12" t="n">
        <x:f>COUNTIFS(Produits!B:B,D19,Produits!AG:AG,"Validé")</x:f>
        <x:v>0</x:v>
      </x:c>
      <x:c r="H19" s="46" t="n">
        <x:f>IFERROR(F19/E19,0)</x:f>
        <x:v>0</x:v>
      </x:c>
    </x:row>
    <x:row r="20">
      <x:c r="A20" s="12"/>
      <x:c r="B20" s="12"/>
      <x:c r="C20" s="12"/>
      <x:c r="D20" s="12" t="str">
        <x:f>Listes!E18</x:f>
        <x:v>Corde à sauter</x:v>
      </x:c>
      <x:c r="E20" s="12" t="n">
        <x:f>COUNTIF(Produits!B:B,D20)</x:f>
        <x:v>0</x:v>
      </x:c>
      <x:c r="F20" s="12" t="n">
        <x:f>COUNTIFS(Produits!B:B,D20,Produits!H:H,"??????????")</x:f>
        <x:v>0</x:v>
      </x:c>
      <x:c r="G20" s="12" t="n">
        <x:f>COUNTIFS(Produits!B:B,D20,Produits!AG:AG,"Validé")</x:f>
        <x:v>0</x:v>
      </x:c>
      <x:c r="H20" s="46" t="n">
        <x:f>IFERROR(F20/E20,0)</x:f>
        <x:v>0</x:v>
      </x:c>
    </x:row>
    <x:row r="21">
      <x:c r="A21" s="12"/>
      <x:c r="B21" s="12"/>
      <x:c r="C21" s="12"/>
      <x:c r="D21" s="12" t="str">
        <x:f>Listes!E19</x:f>
        <x:v>Rouleaux de massage</x:v>
      </x:c>
      <x:c r="E21" s="12" t="n">
        <x:f>COUNTIF(Produits!B:B,D21)</x:f>
        <x:v>0</x:v>
      </x:c>
      <x:c r="F21" s="12" t="n">
        <x:f>COUNTIFS(Produits!B:B,D21,Produits!H:H,"??????????")</x:f>
        <x:v>0</x:v>
      </x:c>
      <x:c r="G21" s="12" t="n">
        <x:f>COUNTIFS(Produits!B:B,D21,Produits!AG:AG,"Validé")</x:f>
        <x:v>0</x:v>
      </x:c>
      <x:c r="H21" s="46" t="n">
        <x:f>IFERROR(F21/E21,0)</x:f>
        <x:v>0</x:v>
      </x:c>
    </x:row>
    <x:row r="22">
      <x:c r="A22" s="12"/>
      <x:c r="B22" s="12"/>
      <x:c r="C22" s="12"/>
      <x:c r="D22" s="12" t="str">
        <x:f>Listes!E20</x:f>
        <x:v>Barre de traction</x:v>
      </x:c>
      <x:c r="E22" s="12" t="n">
        <x:f>COUNTIF(Produits!B:B,D22)</x:f>
        <x:v>3</x:v>
      </x:c>
      <x:c r="F22" s="12" t="n">
        <x:f>COUNTIFS(Produits!B:B,D22,Produits!H:H,"??????????")</x:f>
        <x:v>0</x:v>
      </x:c>
      <x:c r="G22" s="12" t="n">
        <x:f>COUNTIFS(Produits!B:B,D22,Produits!AG:AG,"Validé")</x:f>
        <x:v>0</x:v>
      </x:c>
      <x:c r="H22" s="46" t="n">
        <x:f>IFERROR(F22/E22,0)</x:f>
        <x:v>0</x:v>
      </x:c>
    </x:row>
    <x:row r="23">
      <x:c r="A23" s="12"/>
      <x:c r="B23" s="12"/>
      <x:c r="C23" s="12"/>
      <x:c r="D23" s="12" t="str">
        <x:f>Listes!E21</x:f>
        <x:v>Bandes élastiques</x:v>
      </x:c>
      <x:c r="E23" s="12" t="n">
        <x:f>COUNTIF(Produits!B:B,D23)</x:f>
        <x:v>0</x:v>
      </x:c>
      <x:c r="F23" s="12" t="n">
        <x:f>COUNTIFS(Produits!B:B,D23,Produits!H:H,"??????????")</x:f>
        <x:v>0</x:v>
      </x:c>
      <x:c r="G23" s="12" t="n">
        <x:f>COUNTIFS(Produits!B:B,D23,Produits!AG:AG,"Validé")</x:f>
        <x:v>0</x:v>
      </x:c>
      <x:c r="H23" s="46" t="n">
        <x:f>IFERROR(F23/E23,0)</x:f>
        <x:v>0</x:v>
      </x:c>
    </x:row>
  </x:sheetData>
  <x:mergeCells>
    <x:mergeCell ref="A1:H1"/>
  </x:mergeCells>
  <x:conditionalFormatting sqref="H4:H23">
    <x:cfRule type="dataBar" priority="1">
      <x:dataBar>
        <x:cfvo type="min"/>
        <x:cfvo type="max"/>
        <x:color rgb="FFFF7A1A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f64c95332a5436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FF7A1A"/>
            </x14:dataBar>
          </x14:cfRule>
          <xm:sqref>H4:H23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8" hidden="0" customWidth="1"/>
    <x:col min="4" max="4" width="25" hidden="0" customWidth="1"/>
    <x:col min="5" max="5" width="30" hidden="0" customWidth="1"/>
    <x:col min="6" max="6" width="20" hidden="0" customWidth="1"/>
    <x:col min="7" max="7" width="24" hidden="0" customWidth="1"/>
    <x:col min="8" max="8" width="15" hidden="0" customWidth="1"/>
    <x:col min="9" max="9" width="34" hidden="0" customWidth="1"/>
    <x:col min="10" max="10" width="16" hidden="0" customWidth="1"/>
    <x:col min="11" max="11" width="38" hidden="0" customWidth="1"/>
    <x:col min="12" max="12" width="32" hidden="0" customWidth="1"/>
    <x:col min="13" max="13" width="15" hidden="0" customWidth="1"/>
    <x:col min="14" max="14" width="15" hidden="0" customWidth="1"/>
    <x:col min="15" max="15" width="14" hidden="0" customWidth="1"/>
    <x:col min="16" max="16" width="16" hidden="0" customWidth="1"/>
    <x:col min="17" max="17" width="14" hidden="0" customWidth="1"/>
    <x:col min="18" max="18" width="18" hidden="0" customWidth="1"/>
    <x:col min="19" max="19" width="14" hidden="0" customWidth="1"/>
    <x:col min="20" max="20" width="12" hidden="0" customWidth="1"/>
    <x:col min="21" max="21" width="18" hidden="0" customWidth="1"/>
    <x:col min="22" max="22" width="14" hidden="0" customWidth="1"/>
    <x:col min="23" max="23" width="11" hidden="0" customWidth="1"/>
    <x:col min="24" max="24" width="14" hidden="0" customWidth="1"/>
    <x:col min="25" max="25" width="11" hidden="0" customWidth="1"/>
    <x:col min="26" max="26" width="36" hidden="0" customWidth="1"/>
    <x:col min="27" max="27" width="42" hidden="0" customWidth="1"/>
    <x:col min="28" max="28" width="38" hidden="0" customWidth="1"/>
    <x:col min="29" max="29" width="25" hidden="0" customWidth="1"/>
    <x:col min="30" max="30" width="14" hidden="0" customWidth="1"/>
    <x:col min="31" max="31" width="13" hidden="0" customWidth="1"/>
    <x:col min="32" max="32" width="18" hidden="0" customWidth="1"/>
    <x:col min="33" max="33" width="16" hidden="0" customWidth="1"/>
    <x:col min="34" max="34" width="32" hidden="0" customWidth="1"/>
    <x:col min="35" max="35" width="38" hidden="0" customWidth="1"/>
  </x:cols>
  <x:sheetData>
    <x:row r="1">
      <x:c r="A1" s="17" t="str">
        <x:v>BASE OFFICIELLE PRODUITS — MUSCUGUIDE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  <x:c r="AC1" s="17"/>
      <x:c r="AD1" s="17"/>
      <x:c r="AE1" s="17"/>
      <x:c r="AF1" s="17"/>
      <x:c r="AG1" s="17"/>
    </x:row>
    <x:row r="3">
      <x:c r="A3" s="6" t="str">
        <x:v>ID</x:v>
      </x:c>
      <x:c r="B3" s="6" t="str">
        <x:v>Catégorie</x:v>
      </x:c>
      <x:c r="C3" s="6" t="str">
        <x:v>Rang</x:v>
      </x:c>
      <x:c r="D3" s="6" t="str">
        <x:v>Badge</x:v>
      </x:c>
      <x:c r="E3" s="6" t="str">
        <x:v>Produit</x:v>
      </x:c>
      <x:c r="F3" s="6" t="str">
        <x:v>Marque</x:v>
      </x:c>
      <x:c r="G3" s="6" t="str">
        <x:v>Variante / modèle</x:v>
      </x:c>
      <x:c r="H3" s="6" t="str">
        <x:v>ASIN FR</x:v>
      </x:c>
      <x:c r="I3" s="6" t="str">
        <x:v>URL Amazon FR</x:v>
      </x:c>
      <x:c r="J3" s="6" t="str">
        <x:v>Tag affilié</x:v>
      </x:c>
      <x:c r="K3" s="6" t="str">
        <x:v>Lien affilié final</x:v>
      </x:c>
      <x:c r="L3" s="6" t="str">
        <x:v>Image URL / PA-API</x:v>
      </x:c>
      <x:c r="M3" s="6" t="str">
        <x:v>Prix indicatif interne (€)</x:v>
      </x:c>
      <x:c r="N3" s="6" t="str">
        <x:v>Budget</x:v>
      </x:c>
      <x:c r="O3" s="6" t="str">
        <x:v>Note qualité /25</x:v>
      </x:c>
      <x:c r="P3" s="6" t="str">
        <x:v>Note rapport Q/P /25</x:v>
      </x:c>
      <x:c r="Q3" s="6" t="str">
        <x:v>Note avis /20</x:v>
      </x:c>
      <x:c r="R3" s="6" t="str">
        <x:v>Note fonctionnalités /15</x:v>
      </x:c>
      <x:c r="S3" s="6" t="str">
        <x:v>Note durabilité /10</x:v>
      </x:c>
      <x:c r="T3" s="6" t="str">
        <x:v>Note SAV /5</x:v>
      </x:c>
      <x:c r="U3" s="6" t="str">
        <x:v>Score MuscuGuide /100</x:v>
      </x:c>
      <x:c r="V3" s="6" t="str">
        <x:v>Verdict</x:v>
      </x:c>
      <x:c r="W3" s="6" t="str">
        <x:v>Débutant</x:v>
      </x:c>
      <x:c r="X3" s="6" t="str">
        <x:v>Intermédiaire</x:v>
      </x:c>
      <x:c r="Y3" s="6" t="str">
        <x:v>Confirmé</x:v>
      </x:c>
      <x:c r="Z3" s="6" t="str">
        <x:v>Résumé court</x:v>
      </x:c>
      <x:c r="AA3" s="6" t="str">
        <x:v>Points forts</x:v>
      </x:c>
      <x:c r="AB3" s="6" t="str">
        <x:v>Points faibles</x:v>
      </x:c>
      <x:c r="AC3" s="6" t="str">
        <x:v>Profil idéal</x:v>
      </x:c>
      <x:c r="AD3" s="6" t="str">
        <x:v>Nombre d'avis</x:v>
      </x:c>
      <x:c r="AE3" s="6" t="str">
        <x:v>Note Amazon</x:v>
      </x:c>
      <x:c r="AF3" s="6" t="str">
        <x:v>Date dernière vérification</x:v>
      </x:c>
      <x:c r="AG3" s="6" t="str">
        <x:v>Statut</x:v>
      </x:c>
      <x:c r="AH3" s="6" t="str">
        <x:v>Source produit</x:v>
      </x:c>
      <x:c r="AI3" s="6" t="str">
        <x:v>Remarques</x:v>
      </x:c>
    </x:row>
    <x:row r="4">
      <x:c r="A4" s="12" t="str">
        <x:v>MG-WHEY-001</x:v>
      </x:c>
      <x:c r="B4" s="12" t="str">
        <x:v>Whey protéine</x:v>
      </x:c>
      <x:c r="C4" s="12" t="n">
        <x:v>1</x:v>
      </x:c>
      <x:c r="D4" s="12" t="str">
        <x:v>Choix MuscuGuide</x:v>
      </x:c>
      <x:c r="E4" s="12" t="str">
        <x:v>Gold Standard 100% Whey</x:v>
      </x:c>
      <x:c r="F4" s="12" t="str">
        <x:v>Optimum Nutrition</x:v>
      </x:c>
      <x:c r="G4" s="12" t="str"/>
      <x:c r="H4" s="12" t="str"/>
      <x:c r="I4" s="12" t="str"/>
      <x:c r="J4" s="12" t="str"/>
      <x:c r="K4" s="12" t="str">
        <x:f>IF(OR(H4="",J4=""),"", "https://www.amazon.fr/dp/"&amp;H4&amp;"?tag="&amp;J4)</x:f>
      </x:c>
      <x:c r="L4" s="12" t="str"/>
      <x:c r="M4" s="36" t="str"/>
      <x:c r="N4" s="12" t="str">
        <x:v>Performance</x:v>
      </x:c>
      <x:c r="O4" s="12" t="str"/>
      <x:c r="P4" s="12" t="str"/>
      <x:c r="Q4" s="12" t="str"/>
      <x:c r="R4" s="12" t="str"/>
      <x:c r="S4" s="12" t="str"/>
      <x:c r="T4" s="12" t="str"/>
      <x:c r="U4" s="12" t="n">
        <x:f>IF(COUNTA(O4:T4)=0,"",SUM(O4:T4))</x:f>
        <x:v>0</x:v>
      </x:c>
      <x:c r="V4" s="12" t="str">
        <x:f>IF(U4="","",IF(U4&gt;=95,"Exceptionnel",IF(U4&gt;=90,"Excellent",IF(U4&gt;=85,"Très bon",IF(U4&gt;=80,"Bon",IF(U4&gt;=70,"Correct","À revoir"))))))</x:f>
      </x:c>
      <x:c r="W4" s="12" t="str">
        <x:v>Oui</x:v>
      </x:c>
      <x:c r="X4" s="12" t="str">
        <x:v>Oui</x:v>
      </x:c>
      <x:c r="Y4" s="12" t="str">
        <x:v>Oui</x:v>
      </x:c>
      <x:c r="Z4" s="12" t="str">
        <x:v>Référence polyvalente pour la majorité des pratiquants.</x:v>
      </x:c>
      <x:c r="AA4" s="12" t="str">
        <x:v>Bonne réputation | Formule connue | Large choix</x:v>
      </x:c>
      <x:c r="AB4" s="12" t="str">
        <x:v>Prix parfois élevé | Saveurs variables</x:v>
      </x:c>
      <x:c r="AC4" s="12" t="str">
        <x:v>Débutant à confirmé</x:v>
      </x:c>
      <x:c r="AD4" s="12" t="str"/>
      <x:c r="AE4" s="38" t="str"/>
      <x:c r="AF4" s="40" t="str"/>
      <x:c r="AG4" s="12" t="str">
        <x:v>À rechercher</x:v>
      </x:c>
      <x:c r="AH4" s="12" t="str"/>
      <x:c r="AI4" s="12" t="str">
        <x:v>Sélection éditoriale initiale — vérifier disponibilité Amazon FR.</x:v>
      </x:c>
    </x:row>
    <x:row r="5">
      <x:c r="A5" s="12" t="str">
        <x:v>MG-WHEY-002</x:v>
      </x:c>
      <x:c r="B5" s="12" t="str">
        <x:v>Whey protéine</x:v>
      </x:c>
      <x:c r="C5" s="12" t="n">
        <x:v>2</x:v>
      </x:c>
      <x:c r="D5" s="12" t="str">
        <x:v>Meilleur rapport qualité/prix</x:v>
      </x:c>
      <x:c r="E5" s="12" t="str">
        <x:v>Critical Whey</x:v>
      </x:c>
      <x:c r="F5" s="12" t="str">
        <x:v>Applied Nutrition</x:v>
      </x:c>
      <x:c r="G5" s="12" t="str"/>
      <x:c r="H5" s="12" t="str"/>
      <x:c r="I5" s="12" t="str"/>
      <x:c r="J5" s="12" t="str"/>
      <x:c r="K5" s="12" t="str">
        <x:f>IF(OR(H5="",J5=""),"", "https://www.amazon.fr/dp/"&amp;H5&amp;"?tag="&amp;J5)</x:f>
      </x:c>
      <x:c r="L5" s="12" t="str"/>
      <x:c r="M5" s="36" t="str"/>
      <x:c r="N5" s="12" t="str">
        <x:v>Essentials</x:v>
      </x:c>
      <x:c r="O5" s="12" t="str"/>
      <x:c r="P5" s="12" t="str"/>
      <x:c r="Q5" s="12" t="str"/>
      <x:c r="R5" s="12" t="str"/>
      <x:c r="S5" s="12" t="str"/>
      <x:c r="T5" s="12" t="str"/>
      <x:c r="U5" s="12" t="n">
        <x:f>IF(COUNTA(O5:T5)=0,"",SUM(O5:T5))</x:f>
        <x:v>0</x:v>
      </x:c>
      <x:c r="V5" s="12" t="str">
        <x:f>IF(U5="","",IF(U5&gt;=95,"Exceptionnel",IF(U5&gt;=90,"Excellent",IF(U5&gt;=85,"Très bon",IF(U5&gt;=80,"Bon",IF(U5&gt;=70,"Correct","À revoir"))))))</x:f>
      </x:c>
      <x:c r="W5" s="12" t="str">
        <x:v>Oui</x:v>
      </x:c>
      <x:c r="X5" s="12" t="str">
        <x:v>Oui</x:v>
      </x:c>
      <x:c r="Y5" s="12" t="str"/>
      <x:c r="Z5" s="12" t="str">
        <x:v>Option accessible pour une consommation régulière.</x:v>
      </x:c>
      <x:c r="AA5" s="12" t="str">
        <x:v>Tarif compétitif | Marque connue | Polyvalente</x:v>
      </x:c>
      <x:c r="AB5" s="12" t="str">
        <x:v>Composition à comparer selon parfum</x:v>
      </x:c>
      <x:c r="AC5" s="12" t="str">
        <x:v>Débutant / intermédiaire</x:v>
      </x:c>
      <x:c r="AD5" s="12" t="str"/>
      <x:c r="AE5" s="38" t="str"/>
      <x:c r="AF5" s="40" t="str"/>
      <x:c r="AG5" s="12" t="str">
        <x:v>À rechercher</x:v>
      </x:c>
      <x:c r="AH5" s="12" t="str"/>
      <x:c r="AI5" s="12" t="str">
        <x:v>Sélection éditoriale initiale.</x:v>
      </x:c>
    </x:row>
    <x:row r="6">
      <x:c r="A6" s="12" t="str">
        <x:v>MG-WHEY-003</x:v>
      </x:c>
      <x:c r="B6" s="12" t="str">
        <x:v>Whey protéine</x:v>
      </x:c>
      <x:c r="C6" s="12" t="n">
        <x:v>3</x:v>
      </x:c>
      <x:c r="D6" s="12" t="str">
        <x:v>Premium</x:v>
      </x:c>
      <x:c r="E6" s="12" t="str">
        <x:v>Iso Whey Zero</x:v>
      </x:c>
      <x:c r="F6" s="12" t="str">
        <x:v>BioTechUSA</x:v>
      </x:c>
      <x:c r="G6" s="12" t="str"/>
      <x:c r="H6" s="12" t="str"/>
      <x:c r="I6" s="12" t="str"/>
      <x:c r="J6" s="12" t="str"/>
      <x:c r="K6" s="12" t="str">
        <x:f>IF(OR(H6="",J6=""),"", "https://www.amazon.fr/dp/"&amp;H6&amp;"?tag="&amp;J6)</x:f>
      </x:c>
      <x:c r="L6" s="12" t="str"/>
      <x:c r="M6" s="36" t="str"/>
      <x:c r="N6" s="12" t="str">
        <x:v>Elite</x:v>
      </x:c>
      <x:c r="O6" s="12" t="str"/>
      <x:c r="P6" s="12" t="str"/>
      <x:c r="Q6" s="12" t="str"/>
      <x:c r="R6" s="12" t="str"/>
      <x:c r="S6" s="12" t="str"/>
      <x:c r="T6" s="12" t="str"/>
      <x:c r="U6" s="12" t="n">
        <x:f>IF(COUNTA(O6:T6)=0,"",SUM(O6:T6))</x:f>
        <x:v>0</x:v>
      </x:c>
      <x:c r="V6" s="12" t="str">
        <x:f>IF(U6="","",IF(U6&gt;=95,"Exceptionnel",IF(U6&gt;=90,"Excellent",IF(U6&gt;=85,"Très bon",IF(U6&gt;=80,"Bon",IF(U6&gt;=70,"Correct","À revoir"))))))</x:f>
      </x:c>
      <x:c r="W6" s="12" t="str"/>
      <x:c r="X6" s="12" t="str">
        <x:v>Oui</x:v>
      </x:c>
      <x:c r="Y6" s="12" t="str">
        <x:v>Oui</x:v>
      </x:c>
      <x:c r="Z6" s="12" t="str">
        <x:v>Isolat premium pour les utilisateurs exigeants.</x:v>
      </x:c>
      <x:c r="AA6" s="12" t="str">
        <x:v>Faible teneur en sucres | Formule isolat | Image premium</x:v>
      </x:c>
      <x:c r="AB6" s="12" t="str">
        <x:v>Prix élevé</x:v>
      </x:c>
      <x:c r="AC6" s="12" t="str">
        <x:v>Intermédiaire / confirmé</x:v>
      </x:c>
      <x:c r="AD6" s="12" t="str"/>
      <x:c r="AE6" s="38" t="str"/>
      <x:c r="AF6" s="40" t="str"/>
      <x:c r="AG6" s="12" t="str">
        <x:v>À rechercher</x:v>
      </x:c>
      <x:c r="AH6" s="12" t="str"/>
      <x:c r="AI6" s="12" t="str">
        <x:v>Sélection éditoriale initiale.</x:v>
      </x:c>
    </x:row>
    <x:row r="7">
      <x:c r="A7" s="12" t="str">
        <x:v>MG-CREA-001</x:v>
      </x:c>
      <x:c r="B7" s="12" t="str">
        <x:v>Créatine</x:v>
      </x:c>
      <x:c r="C7" s="12" t="n">
        <x:v>1</x:v>
      </x:c>
      <x:c r="D7" s="12" t="str">
        <x:v>Choix MuscuGuide</x:v>
      </x:c>
      <x:c r="E7" s="12" t="str">
        <x:v>Micronized Creatine Powder</x:v>
      </x:c>
      <x:c r="F7" s="12" t="str">
        <x:v>Optimum Nutrition</x:v>
      </x:c>
      <x:c r="G7" s="12" t="str"/>
      <x:c r="H7" s="12" t="str"/>
      <x:c r="I7" s="12" t="str"/>
      <x:c r="J7" s="12" t="str"/>
      <x:c r="K7" s="12" t="str">
        <x:f>IF(OR(H7="",J7=""),"", "https://www.amazon.fr/dp/"&amp;H7&amp;"?tag="&amp;J7)</x:f>
      </x:c>
      <x:c r="L7" s="12" t="str"/>
      <x:c r="M7" s="36" t="str"/>
      <x:c r="N7" s="12" t="str">
        <x:v>Performance</x:v>
      </x:c>
      <x:c r="O7" s="12" t="str"/>
      <x:c r="P7" s="12" t="str"/>
      <x:c r="Q7" s="12" t="str"/>
      <x:c r="R7" s="12" t="str"/>
      <x:c r="S7" s="12" t="str"/>
      <x:c r="T7" s="12" t="str"/>
      <x:c r="U7" s="12" t="n">
        <x:f>IF(COUNTA(O7:T7)=0,"",SUM(O7:T7))</x:f>
        <x:v>0</x:v>
      </x:c>
      <x:c r="V7" s="12" t="str">
        <x:f>IF(U7="","",IF(U7&gt;=95,"Exceptionnel",IF(U7&gt;=90,"Excellent",IF(U7&gt;=85,"Très bon",IF(U7&gt;=80,"Bon",IF(U7&gt;=70,"Correct","À revoir"))))))</x:f>
      </x:c>
      <x:c r="W7" s="12" t="str">
        <x:v>Oui</x:v>
      </x:c>
      <x:c r="X7" s="12" t="str">
        <x:v>Oui</x:v>
      </x:c>
      <x:c r="Y7" s="12" t="str">
        <x:v>Oui</x:v>
      </x:c>
      <x:c r="Z7" s="12" t="str">
        <x:v>Créatine micronisée simple et reconnue.</x:v>
      </x:c>
      <x:c r="AA7" s="12" t="str">
        <x:v>Marque reconnue | Formule simple | Facile à doser</x:v>
      </x:c>
      <x:c r="AB7" s="12" t="str">
        <x:v>Prix parfois supérieur aux génériques</x:v>
      </x:c>
      <x:c r="AC7" s="12" t="str">
        <x:v>Tous niveaux</x:v>
      </x:c>
      <x:c r="AD7" s="12" t="str"/>
      <x:c r="AE7" s="38" t="str"/>
      <x:c r="AF7" s="40" t="str"/>
      <x:c r="AG7" s="12" t="str">
        <x:v>À rechercher</x:v>
      </x:c>
      <x:c r="AH7" s="12" t="str"/>
      <x:c r="AI7" s="12" t="str">
        <x:v>Vérifier forme monohydrate pure et grammage.</x:v>
      </x:c>
    </x:row>
    <x:row r="8">
      <x:c r="A8" s="12" t="str">
        <x:v>MG-CREA-002</x:v>
      </x:c>
      <x:c r="B8" s="12" t="str">
        <x:v>Créatine</x:v>
      </x:c>
      <x:c r="C8" s="12" t="n">
        <x:v>2</x:v>
      </x:c>
      <x:c r="D8" s="12" t="str">
        <x:v>Meilleur rapport qualité/prix</x:v>
      </x:c>
      <x:c r="E8" s="12" t="str">
        <x:v>Creatine Monohydrate</x:v>
      </x:c>
      <x:c r="F8" s="12" t="str">
        <x:v>Applied Nutrition</x:v>
      </x:c>
      <x:c r="G8" s="12" t="str"/>
      <x:c r="H8" s="12" t="str"/>
      <x:c r="I8" s="12" t="str"/>
      <x:c r="J8" s="12" t="str"/>
      <x:c r="K8" s="12" t="str">
        <x:f>IF(OR(H8="",J8=""),"", "https://www.amazon.fr/dp/"&amp;H8&amp;"?tag="&amp;J8)</x:f>
      </x:c>
      <x:c r="L8" s="12" t="str"/>
      <x:c r="M8" s="36" t="str"/>
      <x:c r="N8" s="12" t="str">
        <x:v>Essentials</x:v>
      </x:c>
      <x:c r="O8" s="12" t="str"/>
      <x:c r="P8" s="12" t="str"/>
      <x:c r="Q8" s="12" t="str"/>
      <x:c r="R8" s="12" t="str"/>
      <x:c r="S8" s="12" t="str"/>
      <x:c r="T8" s="12" t="str"/>
      <x:c r="U8" s="12" t="n">
        <x:f>IF(COUNTA(O8:T8)=0,"",SUM(O8:T8))</x:f>
        <x:v>0</x:v>
      </x:c>
      <x:c r="V8" s="12" t="str">
        <x:f>IF(U8="","",IF(U8&gt;=95,"Exceptionnel",IF(U8&gt;=90,"Excellent",IF(U8&gt;=85,"Très bon",IF(U8&gt;=80,"Bon",IF(U8&gt;=70,"Correct","À revoir"))))))</x:f>
      </x:c>
      <x:c r="W8" s="12" t="str">
        <x:v>Oui</x:v>
      </x:c>
      <x:c r="X8" s="12" t="str">
        <x:v>Oui</x:v>
      </x:c>
      <x:c r="Y8" s="12" t="str">
        <x:v>Oui</x:v>
      </x:c>
      <x:c r="Z8" s="12" t="str">
        <x:v>Monohydrate accessible pour un usage quotidien.</x:v>
      </x:c>
      <x:c r="AA8" s="12" t="str">
        <x:v>Bon prix | Formule simple | Marque fitness</x:v>
      </x:c>
      <x:c r="AB8" s="12" t="str">
        <x:v>Packaging selon version</x:v>
      </x:c>
      <x:c r="AC8" s="12" t="str">
        <x:v>Tous niveaux</x:v>
      </x:c>
      <x:c r="AD8" s="12" t="str"/>
      <x:c r="AE8" s="38" t="str"/>
      <x:c r="AF8" s="40" t="str"/>
      <x:c r="AG8" s="12" t="str">
        <x:v>À rechercher</x:v>
      </x:c>
      <x:c r="AH8" s="12" t="str"/>
      <x:c r="AI8" s="12" t="str">
        <x:v>Vérifier disponibilité Amazon FR.</x:v>
      </x:c>
    </x:row>
    <x:row r="9">
      <x:c r="A9" s="12" t="str">
        <x:v>MG-CREA-003</x:v>
      </x:c>
      <x:c r="B9" s="12" t="str">
        <x:v>Créatine</x:v>
      </x:c>
      <x:c r="C9" s="12" t="n">
        <x:v>3</x:v>
      </x:c>
      <x:c r="D9" s="12" t="str">
        <x:v>Premium</x:v>
      </x:c>
      <x:c r="E9" s="12" t="str">
        <x:v>Créatine Creapure®</x:v>
      </x:c>
      <x:c r="F9" s="12" t="str">
        <x:v>À définir</x:v>
      </x:c>
      <x:c r="G9" s="12" t="str"/>
      <x:c r="H9" s="12" t="str"/>
      <x:c r="I9" s="12" t="str"/>
      <x:c r="J9" s="12" t="str"/>
      <x:c r="K9" s="12" t="str">
        <x:f>IF(OR(H9="",J9=""),"", "https://www.amazon.fr/dp/"&amp;H9&amp;"?tag="&amp;J9)</x:f>
      </x:c>
      <x:c r="L9" s="12" t="str"/>
      <x:c r="M9" s="36" t="str"/>
      <x:c r="N9" s="12" t="str">
        <x:v>Elite</x:v>
      </x:c>
      <x:c r="O9" s="12" t="str"/>
      <x:c r="P9" s="12" t="str"/>
      <x:c r="Q9" s="12" t="str"/>
      <x:c r="R9" s="12" t="str"/>
      <x:c r="S9" s="12" t="str"/>
      <x:c r="T9" s="12" t="str"/>
      <x:c r="U9" s="12" t="n">
        <x:f>IF(COUNTA(O9:T9)=0,"",SUM(O9:T9))</x:f>
        <x:v>0</x:v>
      </x:c>
      <x:c r="V9" s="12" t="str">
        <x:f>IF(U9="","",IF(U9&gt;=95,"Exceptionnel",IF(U9&gt;=90,"Excellent",IF(U9&gt;=85,"Très bon",IF(U9&gt;=80,"Bon",IF(U9&gt;=70,"Correct","À revoir"))))))</x:f>
      </x:c>
      <x:c r="W9" s="12" t="str"/>
      <x:c r="X9" s="12" t="str">
        <x:v>Oui</x:v>
      </x:c>
      <x:c r="Y9" s="12" t="str">
        <x:v>Oui</x:v>
      </x:c>
      <x:c r="Z9" s="12" t="str">
        <x:v>Option premium utilisant une matière première certifiée Creapure®.</x:v>
      </x:c>
      <x:c r="AA9" s="12" t="str">
        <x:v>Traçabilité | Pureté | Positionnement premium</x:v>
      </x:c>
      <x:c r="AB9" s="12" t="str">
        <x:v>Marque exacte à sélectionner</x:v>
      </x:c>
      <x:c r="AC9" s="12" t="str">
        <x:v>Intermédiaire / confirmé</x:v>
      </x:c>
      <x:c r="AD9" s="12" t="str"/>
      <x:c r="AE9" s="38" t="str"/>
      <x:c r="AF9" s="40" t="str"/>
      <x:c r="AG9" s="12" t="str">
        <x:v>À rechercher</x:v>
      </x:c>
      <x:c r="AH9" s="12" t="str"/>
      <x:c r="AI9" s="12" t="str">
        <x:v>Choisir une marque Amazon FR stable utilisant réellement Creapure®.</x:v>
      </x:c>
    </x:row>
    <x:row r="10">
      <x:c r="A10" s="12" t="str">
        <x:v>MG-HALT-001</x:v>
      </x:c>
      <x:c r="B10" s="12" t="str">
        <x:v>Haltères réglables</x:v>
      </x:c>
      <x:c r="C10" s="12" t="n">
        <x:v>1</x:v>
      </x:c>
      <x:c r="D10" s="12" t="str">
        <x:v>Choix MuscuGuide</x:v>
      </x:c>
      <x:c r="E10" s="12" t="str">
        <x:v>SelectTech 552</x:v>
      </x:c>
      <x:c r="F10" s="12" t="str">
        <x:v>Bowflex</x:v>
      </x:c>
      <x:c r="G10" s="12" t="str"/>
      <x:c r="H10" s="12" t="str"/>
      <x:c r="I10" s="12" t="str"/>
      <x:c r="J10" s="12" t="str"/>
      <x:c r="K10" s="12" t="str">
        <x:f>IF(OR(H10="",J10=""),"", "https://www.amazon.fr/dp/"&amp;H10&amp;"?tag="&amp;J10)</x:f>
      </x:c>
      <x:c r="L10" s="12" t="str"/>
      <x:c r="M10" s="36" t="str"/>
      <x:c r="N10" s="12" t="str">
        <x:v>Performance</x:v>
      </x:c>
      <x:c r="O10" s="12" t="str"/>
      <x:c r="P10" s="12" t="str"/>
      <x:c r="Q10" s="12" t="str"/>
      <x:c r="R10" s="12" t="str"/>
      <x:c r="S10" s="12" t="str"/>
      <x:c r="T10" s="12" t="str"/>
      <x:c r="U10" s="12" t="n">
        <x:f>IF(COUNTA(O10:T10)=0,"",SUM(O10:T10))</x:f>
        <x:v>0</x:v>
      </x:c>
      <x:c r="V10" s="12" t="str">
        <x:f>IF(U10="","",IF(U10&gt;=95,"Exceptionnel",IF(U10&gt;=90,"Excellent",IF(U10&gt;=85,"Très bon",IF(U10&gt;=80,"Bon",IF(U10&gt;=70,"Correct","À revoir"))))))</x:f>
      </x:c>
      <x:c r="W10" s="12" t="str">
        <x:v>Oui</x:v>
      </x:c>
      <x:c r="X10" s="12" t="str">
        <x:v>Oui</x:v>
      </x:c>
      <x:c r="Y10" s="12" t="str">
        <x:v>Oui</x:v>
      </x:c>
      <x:c r="Z10" s="12" t="str">
        <x:v>Paire réglable iconique pour home gym compact.</x:v>
      </x:c>
      <x:c r="AA10" s="12" t="str">
        <x:v>Réglage rapide | Gain de place | Marque connue</x:v>
      </x:c>
      <x:c r="AB10" s="12" t="str">
        <x:v>Amplitude encombrante | Prix</x:v>
      </x:c>
      <x:c r="AC10" s="12" t="str">
        <x:v>Home gym polyvalent</x:v>
      </x:c>
      <x:c r="AD10" s="12" t="str"/>
      <x:c r="AE10" s="38" t="str"/>
      <x:c r="AF10" s="40" t="str"/>
      <x:c r="AG10" s="12" t="str">
        <x:v>À rechercher</x:v>
      </x:c>
      <x:c r="AH10" s="12" t="str"/>
      <x:c r="AI10" s="12" t="str">
        <x:v>Vérifier si l'offre est à l'unité ou en paire.</x:v>
      </x:c>
    </x:row>
    <x:row r="11">
      <x:c r="A11" s="12" t="str">
        <x:v>MG-HALT-002</x:v>
      </x:c>
      <x:c r="B11" s="12" t="str">
        <x:v>Haltères réglables</x:v>
      </x:c>
      <x:c r="C11" s="12" t="n">
        <x:v>2</x:v>
      </x:c>
      <x:c r="D11" s="12" t="str">
        <x:v>Meilleur rapport qualité/prix</x:v>
      </x:c>
      <x:c r="E11" s="12" t="str">
        <x:v>Haltères réglables</x:v>
      </x:c>
      <x:c r="F11" s="12" t="str">
        <x:v>DH FitLife</x:v>
      </x:c>
      <x:c r="G11" s="12" t="str"/>
      <x:c r="H11" s="12" t="str"/>
      <x:c r="I11" s="12" t="str"/>
      <x:c r="J11" s="12" t="str"/>
      <x:c r="K11" s="12" t="str">
        <x:f>IF(OR(H11="",J11=""),"", "https://www.amazon.fr/dp/"&amp;H11&amp;"?tag="&amp;J11)</x:f>
      </x:c>
      <x:c r="L11" s="12" t="str"/>
      <x:c r="M11" s="36" t="str"/>
      <x:c r="N11" s="12" t="str">
        <x:v>Essentials</x:v>
      </x:c>
      <x:c r="O11" s="12" t="str"/>
      <x:c r="P11" s="12" t="str"/>
      <x:c r="Q11" s="12" t="str"/>
      <x:c r="R11" s="12" t="str"/>
      <x:c r="S11" s="12" t="str"/>
      <x:c r="T11" s="12" t="str"/>
      <x:c r="U11" s="12" t="n">
        <x:f>IF(COUNTA(O11:T11)=0,"",SUM(O11:T11))</x:f>
        <x:v>0</x:v>
      </x:c>
      <x:c r="V11" s="12" t="str">
        <x:f>IF(U11="","",IF(U11&gt;=95,"Exceptionnel",IF(U11&gt;=90,"Excellent",IF(U11&gt;=85,"Très bon",IF(U11&gt;=80,"Bon",IF(U11&gt;=70,"Correct","À revoir"))))))</x:f>
      </x:c>
      <x:c r="W11" s="12" t="str">
        <x:v>Oui</x:v>
      </x:c>
      <x:c r="X11" s="12" t="str">
        <x:v>Oui</x:v>
      </x:c>
      <x:c r="Y11" s="12" t="str"/>
      <x:c r="Z11" s="12" t="str">
        <x:v>Alternative plus accessible pour débuter.</x:v>
      </x:c>
      <x:c r="AA11" s="12" t="str">
        <x:v>Prix | Polyvalence | Gain de place</x:v>
      </x:c>
      <x:c r="AB11" s="12" t="str">
        <x:v>Disponibilité et SAV à vérifier</x:v>
      </x:c>
      <x:c r="AC11" s="12" t="str">
        <x:v>Débutant / intermédiaire</x:v>
      </x:c>
      <x:c r="AD11" s="12" t="str"/>
      <x:c r="AE11" s="38" t="str"/>
      <x:c r="AF11" s="40" t="str"/>
      <x:c r="AG11" s="12" t="str">
        <x:v>À rechercher</x:v>
      </x:c>
      <x:c r="AH11" s="12" t="str"/>
      <x:c r="AI11" s="12" t="str">
        <x:v>Sélection à confirmer selon offre Amazon FR.</x:v>
      </x:c>
    </x:row>
    <x:row r="12">
      <x:c r="A12" s="12" t="str">
        <x:v>MG-HALT-003</x:v>
      </x:c>
      <x:c r="B12" s="12" t="str">
        <x:v>Haltères réglables</x:v>
      </x:c>
      <x:c r="C12" s="12" t="n">
        <x:v>3</x:v>
      </x:c>
      <x:c r="D12" s="12" t="str">
        <x:v>Premium</x:v>
      </x:c>
      <x:c r="E12" s="12" t="str">
        <x:v>NÜOBELL</x:v>
      </x:c>
      <x:c r="F12" s="12" t="str">
        <x:v>NÜO Athletics</x:v>
      </x:c>
      <x:c r="G12" s="12" t="str"/>
      <x:c r="H12" s="12" t="str"/>
      <x:c r="I12" s="12" t="str"/>
      <x:c r="J12" s="12" t="str"/>
      <x:c r="K12" s="12" t="str">
        <x:f>IF(OR(H12="",J12=""),"", "https://www.amazon.fr/dp/"&amp;H12&amp;"?tag="&amp;J12)</x:f>
      </x:c>
      <x:c r="L12" s="12" t="str"/>
      <x:c r="M12" s="36" t="str"/>
      <x:c r="N12" s="12" t="str">
        <x:v>Elite</x:v>
      </x:c>
      <x:c r="O12" s="12" t="str"/>
      <x:c r="P12" s="12" t="str"/>
      <x:c r="Q12" s="12" t="str"/>
      <x:c r="R12" s="12" t="str"/>
      <x:c r="S12" s="12" t="str"/>
      <x:c r="T12" s="12" t="str"/>
      <x:c r="U12" s="12" t="n">
        <x:f>IF(COUNTA(O12:T12)=0,"",SUM(O12:T12))</x:f>
        <x:v>0</x:v>
      </x:c>
      <x:c r="V12" s="12" t="str">
        <x:f>IF(U12="","",IF(U12&gt;=95,"Exceptionnel",IF(U12&gt;=90,"Excellent",IF(U12&gt;=85,"Très bon",IF(U12&gt;=80,"Bon",IF(U12&gt;=70,"Correct","À revoir"))))))</x:f>
      </x:c>
      <x:c r="W12" s="12" t="str"/>
      <x:c r="X12" s="12" t="str">
        <x:v>Oui</x:v>
      </x:c>
      <x:c r="Y12" s="12" t="str">
        <x:v>Oui</x:v>
      </x:c>
      <x:c r="Z12" s="12" t="str">
        <x:v>Solution premium avec changement de charge fluide.</x:v>
      </x:c>
      <x:c r="AA12" s="12" t="str">
        <x:v>Finition | Ergonomie | Réglage rapide</x:v>
      </x:c>
      <x:c r="AB12" s="12" t="str">
        <x:v>Très cher | Disponibilité</x:v>
      </x:c>
      <x:c r="AC12" s="12" t="str">
        <x:v>Home gym premium</x:v>
      </x:c>
      <x:c r="AD12" s="12" t="str"/>
      <x:c r="AE12" s="38" t="str"/>
      <x:c r="AF12" s="40" t="str"/>
      <x:c r="AG12" s="12" t="str">
        <x:v>À rechercher</x:v>
      </x:c>
      <x:c r="AH12" s="12" t="str"/>
      <x:c r="AI12" s="12" t="str">
        <x:v>Vérifier distributeur officiel.</x:v>
      </x:c>
    </x:row>
    <x:row r="13">
      <x:c r="A13" s="12" t="str">
        <x:v>MG-BANC-001</x:v>
      </x:c>
      <x:c r="B13" s="12" t="str">
        <x:v>Banc de musculation</x:v>
      </x:c>
      <x:c r="C13" s="12" t="n">
        <x:v>1</x:v>
      </x:c>
      <x:c r="D13" s="12" t="str">
        <x:v>Choix MuscuGuide</x:v>
      </x:c>
      <x:c r="E13" s="12" t="str">
        <x:v>Adjustable Weight Bench</x:v>
      </x:c>
      <x:c r="F13" s="12" t="str">
        <x:v>FLYBIRD</x:v>
      </x:c>
      <x:c r="G13" s="12" t="str"/>
      <x:c r="H13" s="12" t="str"/>
      <x:c r="I13" s="12" t="str"/>
      <x:c r="J13" s="12" t="str"/>
      <x:c r="K13" s="12" t="str">
        <x:f>IF(OR(H13="",J13=""),"", "https://www.amazon.fr/dp/"&amp;H13&amp;"?tag="&amp;J13)</x:f>
      </x:c>
      <x:c r="L13" s="12" t="str"/>
      <x:c r="M13" s="36" t="str"/>
      <x:c r="N13" s="12" t="str">
        <x:v>Performance</x:v>
      </x:c>
      <x:c r="O13" s="12" t="str"/>
      <x:c r="P13" s="12" t="str"/>
      <x:c r="Q13" s="12" t="str"/>
      <x:c r="R13" s="12" t="str"/>
      <x:c r="S13" s="12" t="str"/>
      <x:c r="T13" s="12" t="str"/>
      <x:c r="U13" s="12" t="n">
        <x:f>IF(COUNTA(O13:T13)=0,"",SUM(O13:T13))</x:f>
        <x:v>0</x:v>
      </x:c>
      <x:c r="V13" s="12" t="str">
        <x:f>IF(U13="","",IF(U13&gt;=95,"Exceptionnel",IF(U13&gt;=90,"Excellent",IF(U13&gt;=85,"Très bon",IF(U13&gt;=80,"Bon",IF(U13&gt;=70,"Correct","À revoir"))))))</x:f>
      </x:c>
      <x:c r="W13" s="12" t="str">
        <x:v>Oui</x:v>
      </x:c>
      <x:c r="X13" s="12" t="str">
        <x:v>Oui</x:v>
      </x:c>
      <x:c r="Y13" s="12" t="str">
        <x:v>Oui</x:v>
      </x:c>
      <x:c r="Z13" s="12" t="str">
        <x:v>Banc réglable et pliable adapté au home gym.</x:v>
      </x:c>
      <x:c r="AA13" s="12" t="str">
        <x:v>Pliable | Polyvalent | Populaire</x:v>
      </x:c>
      <x:c r="AB13" s="12" t="str">
        <x:v>Stabilité à vérifier selon version</x:v>
      </x:c>
      <x:c r="AC13" s="12" t="str">
        <x:v>Débutant à confirmé</x:v>
      </x:c>
      <x:c r="AD13" s="12" t="str"/>
      <x:c r="AE13" s="38" t="str"/>
      <x:c r="AF13" s="40" t="str"/>
      <x:c r="AG13" s="12" t="str">
        <x:v>À rechercher</x:v>
      </x:c>
      <x:c r="AH13" s="12" t="str"/>
      <x:c r="AI13" s="12" t="str">
        <x:v>Identifier la version exacte Amazon FR.</x:v>
      </x:c>
    </x:row>
    <x:row r="14">
      <x:c r="A14" s="12" t="str">
        <x:v>MG-BANC-002</x:v>
      </x:c>
      <x:c r="B14" s="12" t="str">
        <x:v>Banc de musculation</x:v>
      </x:c>
      <x:c r="C14" s="12" t="n">
        <x:v>2</x:v>
      </x:c>
      <x:c r="D14" s="12" t="str">
        <x:v>Meilleur rapport qualité/prix</x:v>
      </x:c>
      <x:c r="E14" s="12" t="str">
        <x:v>Adjustable Weight Bench</x:v>
      </x:c>
      <x:c r="F14" s="12" t="str">
        <x:v>YOLEO</x:v>
      </x:c>
      <x:c r="G14" s="12" t="str"/>
      <x:c r="H14" s="12" t="str"/>
      <x:c r="I14" s="12" t="str"/>
      <x:c r="J14" s="12" t="str"/>
      <x:c r="K14" s="12" t="str">
        <x:f>IF(OR(H14="",J14=""),"", "https://www.amazon.fr/dp/"&amp;H14&amp;"?tag="&amp;J14)</x:f>
      </x:c>
      <x:c r="L14" s="12" t="str"/>
      <x:c r="M14" s="36" t="str"/>
      <x:c r="N14" s="12" t="str">
        <x:v>Essentials</x:v>
      </x:c>
      <x:c r="O14" s="12" t="str"/>
      <x:c r="P14" s="12" t="str"/>
      <x:c r="Q14" s="12" t="str"/>
      <x:c r="R14" s="12" t="str"/>
      <x:c r="S14" s="12" t="str"/>
      <x:c r="T14" s="12" t="str"/>
      <x:c r="U14" s="12" t="n">
        <x:f>IF(COUNTA(O14:T14)=0,"",SUM(O14:T14))</x:f>
        <x:v>0</x:v>
      </x:c>
      <x:c r="V14" s="12" t="str">
        <x:f>IF(U14="","",IF(U14&gt;=95,"Exceptionnel",IF(U14&gt;=90,"Excellent",IF(U14&gt;=85,"Très bon",IF(U14&gt;=80,"Bon",IF(U14&gt;=70,"Correct","À revoir"))))))</x:f>
      </x:c>
      <x:c r="W14" s="12" t="str">
        <x:v>Oui</x:v>
      </x:c>
      <x:c r="X14" s="12" t="str">
        <x:v>Oui</x:v>
      </x:c>
      <x:c r="Y14" s="12" t="str"/>
      <x:c r="Z14" s="12" t="str">
        <x:v>Banc abordable pour débuter à domicile.</x:v>
      </x:c>
      <x:c r="AA14" s="12" t="str">
        <x:v>Prix | Pliable | Plusieurs inclinaisons</x:v>
      </x:c>
      <x:c r="AB14" s="12" t="str">
        <x:v>Charge et dimensions à vérifier</x:v>
      </x:c>
      <x:c r="AC14" s="12" t="str">
        <x:v>Débutant / intermédiaire</x:v>
      </x:c>
      <x:c r="AD14" s="12" t="str"/>
      <x:c r="AE14" s="38" t="str"/>
      <x:c r="AF14" s="40" t="str"/>
      <x:c r="AG14" s="12" t="str">
        <x:v>À rechercher</x:v>
      </x:c>
      <x:c r="AH14" s="12" t="str"/>
      <x:c r="AI14" s="12" t="str">
        <x:v>Identifier modèle exact.</x:v>
      </x:c>
    </x:row>
    <x:row r="15">
      <x:c r="A15" s="12" t="str">
        <x:v>MG-BANC-003</x:v>
      </x:c>
      <x:c r="B15" s="12" t="str">
        <x:v>Banc de musculation</x:v>
      </x:c>
      <x:c r="C15" s="12" t="n">
        <x:v>3</x:v>
      </x:c>
      <x:c r="D15" s="12" t="str">
        <x:v>Premium</x:v>
      </x:c>
      <x:c r="E15" s="12" t="str">
        <x:v>5.1S Stowable Bench</x:v>
      </x:c>
      <x:c r="F15" s="12" t="str">
        <x:v>Bowflex</x:v>
      </x:c>
      <x:c r="G15" s="12" t="str"/>
      <x:c r="H15" s="12" t="str"/>
      <x:c r="I15" s="12" t="str"/>
      <x:c r="J15" s="12" t="str"/>
      <x:c r="K15" s="12" t="str">
        <x:f>IF(OR(H15="",J15=""),"", "https://www.amazon.fr/dp/"&amp;H15&amp;"?tag="&amp;J15)</x:f>
      </x:c>
      <x:c r="L15" s="12" t="str"/>
      <x:c r="M15" s="36" t="str"/>
      <x:c r="N15" s="12" t="str">
        <x:v>Elite</x:v>
      </x:c>
      <x:c r="O15" s="12" t="str"/>
      <x:c r="P15" s="12" t="str"/>
      <x:c r="Q15" s="12" t="str"/>
      <x:c r="R15" s="12" t="str"/>
      <x:c r="S15" s="12" t="str"/>
      <x:c r="T15" s="12" t="str"/>
      <x:c r="U15" s="12" t="n">
        <x:f>IF(COUNTA(O15:T15)=0,"",SUM(O15:T15))</x:f>
        <x:v>0</x:v>
      </x:c>
      <x:c r="V15" s="12" t="str">
        <x:f>IF(U15="","",IF(U15&gt;=95,"Exceptionnel",IF(U15&gt;=90,"Excellent",IF(U15&gt;=85,"Très bon",IF(U15&gt;=80,"Bon",IF(U15&gt;=70,"Correct","À revoir"))))))</x:f>
      </x:c>
      <x:c r="W15" s="12" t="str"/>
      <x:c r="X15" s="12" t="str">
        <x:v>Oui</x:v>
      </x:c>
      <x:c r="Y15" s="12" t="str">
        <x:v>Oui</x:v>
      </x:c>
      <x:c r="Z15" s="12" t="str">
        <x:v>Banc premium stable et rangeable verticalement.</x:v>
      </x:c>
      <x:c r="AA15" s="12" t="str">
        <x:v>Finition | Stabilité | Rangement</x:v>
      </x:c>
      <x:c r="AB15" s="12" t="str">
        <x:v>Prix élevé | Lourd</x:v>
      </x:c>
      <x:c r="AC15" s="12" t="str">
        <x:v>Home gym premium</x:v>
      </x:c>
      <x:c r="AD15" s="12" t="str"/>
      <x:c r="AE15" s="38" t="str"/>
      <x:c r="AF15" s="40" t="str"/>
      <x:c r="AG15" s="12" t="str">
        <x:v>À rechercher</x:v>
      </x:c>
      <x:c r="AH15" s="12" t="str"/>
      <x:c r="AI15" s="12" t="str">
        <x:v>Vérifier disponibilité Amazon FR.</x:v>
      </x:c>
    </x:row>
    <x:row r="16">
      <x:c r="A16" s="12" t="str">
        <x:v>MG-MONTRE-001</x:v>
      </x:c>
      <x:c r="B16" s="12" t="str">
        <x:v>Montre cardio</x:v>
      </x:c>
      <x:c r="C16" s="12" t="n">
        <x:v>1</x:v>
      </x:c>
      <x:c r="D16" s="12" t="str">
        <x:v>Choix MuscuGuide</x:v>
      </x:c>
      <x:c r="E16" s="12" t="str">
        <x:v>Vivoactive 5</x:v>
      </x:c>
      <x:c r="F16" s="12" t="str">
        <x:v>Garmin</x:v>
      </x:c>
      <x:c r="G16" s="12" t="str"/>
      <x:c r="H16" s="12" t="str"/>
      <x:c r="I16" s="12" t="str"/>
      <x:c r="J16" s="12" t="str"/>
      <x:c r="K16" s="12" t="str">
        <x:f>IF(OR(H16="",J16=""),"", "https://www.amazon.fr/dp/"&amp;H16&amp;"?tag="&amp;J16)</x:f>
      </x:c>
      <x:c r="L16" s="12" t="str"/>
      <x:c r="M16" s="36" t="str"/>
      <x:c r="N16" s="12" t="str">
        <x:v>Performance</x:v>
      </x:c>
      <x:c r="O16" s="12" t="str"/>
      <x:c r="P16" s="12" t="str"/>
      <x:c r="Q16" s="12" t="str"/>
      <x:c r="R16" s="12" t="str"/>
      <x:c r="S16" s="12" t="str"/>
      <x:c r="T16" s="12" t="str"/>
      <x:c r="U16" s="12" t="n">
        <x:f>IF(COUNTA(O16:T16)=0,"",SUM(O16:T16))</x:f>
        <x:v>0</x:v>
      </x:c>
      <x:c r="V16" s="12" t="str">
        <x:f>IF(U16="","",IF(U16&gt;=95,"Exceptionnel",IF(U16&gt;=90,"Excellent",IF(U16&gt;=85,"Très bon",IF(U16&gt;=80,"Bon",IF(U16&gt;=70,"Correct","À revoir"))))))</x:f>
      </x:c>
      <x:c r="W16" s="12" t="str">
        <x:v>Oui</x:v>
      </x:c>
      <x:c r="X16" s="12" t="str">
        <x:v>Oui</x:v>
      </x:c>
      <x:c r="Y16" s="12" t="str">
        <x:v>Oui</x:v>
      </x:c>
      <x:c r="Z16" s="12" t="str">
        <x:v>Montre polyvalente pour fitness, santé et cardio.</x:v>
      </x:c>
      <x:c r="AA16" s="12" t="str">
        <x:v>Autonomie | Suivi complet | Marque reconnue</x:v>
      </x:c>
      <x:c r="AB16" s="12" t="str">
        <x:v>Pas la plus avancée en sport outdoor</x:v>
      </x:c>
      <x:c r="AC16" s="12" t="str">
        <x:v>Fitness général</x:v>
      </x:c>
      <x:c r="AD16" s="12" t="str"/>
      <x:c r="AE16" s="38" t="str"/>
      <x:c r="AF16" s="40" t="str"/>
      <x:c r="AG16" s="12" t="str">
        <x:v>À rechercher</x:v>
      </x:c>
      <x:c r="AH16" s="12" t="str"/>
      <x:c r="AI16" s="12" t="str">
        <x:v>ASIN déjà recherché historiquement — revalider.</x:v>
      </x:c>
    </x:row>
    <x:row r="17">
      <x:c r="A17" s="12" t="str">
        <x:v>MG-MONTRE-002</x:v>
      </x:c>
      <x:c r="B17" s="12" t="str">
        <x:v>Montre cardio</x:v>
      </x:c>
      <x:c r="C17" s="12" t="n">
        <x:v>2</x:v>
      </x:c>
      <x:c r="D17" s="12" t="str">
        <x:v>Meilleur rapport qualité/prix</x:v>
      </x:c>
      <x:c r="E17" s="12" t="str">
        <x:v>Balance</x:v>
      </x:c>
      <x:c r="F17" s="12" t="str">
        <x:v>Amazfit</x:v>
      </x:c>
      <x:c r="G17" s="12" t="str"/>
      <x:c r="H17" s="12" t="str"/>
      <x:c r="I17" s="12" t="str"/>
      <x:c r="J17" s="12" t="str"/>
      <x:c r="K17" s="12" t="str">
        <x:f>IF(OR(H17="",J17=""),"", "https://www.amazon.fr/dp/"&amp;H17&amp;"?tag="&amp;J17)</x:f>
      </x:c>
      <x:c r="L17" s="12" t="str"/>
      <x:c r="M17" s="36" t="str"/>
      <x:c r="N17" s="12" t="str">
        <x:v>Essentials</x:v>
      </x:c>
      <x:c r="O17" s="12" t="str"/>
      <x:c r="P17" s="12" t="str"/>
      <x:c r="Q17" s="12" t="str"/>
      <x:c r="R17" s="12" t="str"/>
      <x:c r="S17" s="12" t="str"/>
      <x:c r="T17" s="12" t="str"/>
      <x:c r="U17" s="12" t="n">
        <x:f>IF(COUNTA(O17:T17)=0,"",SUM(O17:T17))</x:f>
        <x:v>0</x:v>
      </x:c>
      <x:c r="V17" s="12" t="str">
        <x:f>IF(U17="","",IF(U17&gt;=95,"Exceptionnel",IF(U17&gt;=90,"Excellent",IF(U17&gt;=85,"Très bon",IF(U17&gt;=80,"Bon",IF(U17&gt;=70,"Correct","À revoir"))))))</x:f>
      </x:c>
      <x:c r="W17" s="12" t="str">
        <x:v>Oui</x:v>
      </x:c>
      <x:c r="X17" s="12" t="str">
        <x:v>Oui</x:v>
      </x:c>
      <x:c r="Y17" s="12" t="str"/>
      <x:c r="Z17" s="12" t="str">
        <x:v>Montre riche en fonctions à prix compétitif.</x:v>
      </x:c>
      <x:c r="AA17" s="12" t="str">
        <x:v>Écran | Autonomie | Fonctions</x:v>
      </x:c>
      <x:c r="AB17" s="12" t="str">
        <x:v>Écosystème moins mature que Garmin</x:v>
      </x:c>
      <x:c r="AC17" s="12" t="str">
        <x:v>Débutant / intermédiaire</x:v>
      </x:c>
      <x:c r="AD17" s="12" t="str"/>
      <x:c r="AE17" s="38" t="str"/>
      <x:c r="AF17" s="40" t="str"/>
      <x:c r="AG17" s="12" t="str">
        <x:v>À rechercher</x:v>
      </x:c>
      <x:c r="AH17" s="12" t="str"/>
      <x:c r="AI17" s="12" t="str">
        <x:v>Vérifier version européenne.</x:v>
      </x:c>
    </x:row>
    <x:row r="18">
      <x:c r="A18" s="12" t="str">
        <x:v>MG-MONTRE-003</x:v>
      </x:c>
      <x:c r="B18" s="12" t="str">
        <x:v>Montre cardio</x:v>
      </x:c>
      <x:c r="C18" s="12" t="n">
        <x:v>3</x:v>
      </x:c>
      <x:c r="D18" s="12" t="str">
        <x:v>Premium</x:v>
      </x:c>
      <x:c r="E18" s="12" t="str">
        <x:v>Fenix 8</x:v>
      </x:c>
      <x:c r="F18" s="12" t="str">
        <x:v>Garmin</x:v>
      </x:c>
      <x:c r="G18" s="12" t="str"/>
      <x:c r="H18" s="12" t="str"/>
      <x:c r="I18" s="12" t="str"/>
      <x:c r="J18" s="12" t="str"/>
      <x:c r="K18" s="12" t="str">
        <x:f>IF(OR(H18="",J18=""),"", "https://www.amazon.fr/dp/"&amp;H18&amp;"?tag="&amp;J18)</x:f>
      </x:c>
      <x:c r="L18" s="12" t="str"/>
      <x:c r="M18" s="36" t="str"/>
      <x:c r="N18" s="12" t="str">
        <x:v>Elite</x:v>
      </x:c>
      <x:c r="O18" s="12" t="str"/>
      <x:c r="P18" s="12" t="str"/>
      <x:c r="Q18" s="12" t="str"/>
      <x:c r="R18" s="12" t="str"/>
      <x:c r="S18" s="12" t="str"/>
      <x:c r="T18" s="12" t="str"/>
      <x:c r="U18" s="12" t="n">
        <x:f>IF(COUNTA(O18:T18)=0,"",SUM(O18:T18))</x:f>
        <x:v>0</x:v>
      </x:c>
      <x:c r="V18" s="12" t="str">
        <x:f>IF(U18="","",IF(U18&gt;=95,"Exceptionnel",IF(U18&gt;=90,"Excellent",IF(U18&gt;=85,"Très bon",IF(U18&gt;=80,"Bon",IF(U18&gt;=70,"Correct","À revoir"))))))</x:f>
      </x:c>
      <x:c r="W18" s="12" t="str"/>
      <x:c r="X18" s="12" t="str">
        <x:v>Oui</x:v>
      </x:c>
      <x:c r="Y18" s="12" t="str">
        <x:v>Oui</x:v>
      </x:c>
      <x:c r="Z18" s="12" t="str">
        <x:v>Montre multisport premium pour utilisateurs exigeants.</x:v>
      </x:c>
      <x:c r="AA18" s="12" t="str">
        <x:v>Robustesse | Cartographie | Fonctions avancées</x:v>
      </x:c>
      <x:c r="AB18" s="12" t="str">
        <x:v>Prix très élevé | Surdimensionnée pour certains</x:v>
      </x:c>
      <x:c r="AC18" s="12" t="str">
        <x:v>Sportif confirmé</x:v>
      </x:c>
      <x:c r="AD18" s="12" t="str"/>
      <x:c r="AE18" s="38" t="str"/>
      <x:c r="AF18" s="40" t="str"/>
      <x:c r="AG18" s="12" t="str">
        <x:v>À rechercher</x:v>
      </x:c>
      <x:c r="AH18" s="12" t="str"/>
      <x:c r="AI18" s="12" t="str">
        <x:v>Choisir taille/version précise.</x:v>
      </x:c>
    </x:row>
    <x:row r="19">
      <x:c r="A19" s="12" t="str">
        <x:v>MG-TAPIS-001</x:v>
      </x:c>
      <x:c r="B19" s="12" t="str">
        <x:v>Tapis de course pliable</x:v>
      </x:c>
      <x:c r="C19" s="12" t="n">
        <x:v>1</x:v>
      </x:c>
      <x:c r="D19" s="12" t="str">
        <x:v>Choix MuscuGuide</x:v>
      </x:c>
      <x:c r="E19" s="12" t="str">
        <x:v>WalkingPad A1 Pro</x:v>
      </x:c>
      <x:c r="F19" s="12" t="str">
        <x:v>KingSmith</x:v>
      </x:c>
      <x:c r="G19" s="12" t="str"/>
      <x:c r="H19" s="12" t="str"/>
      <x:c r="I19" s="12" t="str"/>
      <x:c r="J19" s="12" t="str"/>
      <x:c r="K19" s="12" t="str">
        <x:f>IF(OR(H19="",J19=""),"", "https://www.amazon.fr/dp/"&amp;H19&amp;"?tag="&amp;J19)</x:f>
      </x:c>
      <x:c r="L19" s="12" t="str"/>
      <x:c r="M19" s="36" t="str"/>
      <x:c r="N19" s="12" t="str">
        <x:v>Performance</x:v>
      </x:c>
      <x:c r="O19" s="12" t="str"/>
      <x:c r="P19" s="12" t="str"/>
      <x:c r="Q19" s="12" t="str"/>
      <x:c r="R19" s="12" t="str"/>
      <x:c r="S19" s="12" t="str"/>
      <x:c r="T19" s="12" t="str"/>
      <x:c r="U19" s="12" t="n">
        <x:f>IF(COUNTA(O19:T19)=0,"",SUM(O19:T19))</x:f>
        <x:v>0</x:v>
      </x:c>
      <x:c r="V19" s="12" t="str">
        <x:f>IF(U19="","",IF(U19&gt;=95,"Exceptionnel",IF(U19&gt;=90,"Excellent",IF(U19&gt;=85,"Très bon",IF(U19&gt;=80,"Bon",IF(U19&gt;=70,"Correct","À revoir"))))))</x:f>
      </x:c>
      <x:c r="W19" s="12" t="str">
        <x:v>Oui</x:v>
      </x:c>
      <x:c r="X19" s="12" t="str">
        <x:v>Oui</x:v>
      </x:c>
      <x:c r="Y19" s="12" t="str"/>
      <x:c r="Z19" s="12" t="str">
        <x:v>Walking pad compact pour appartement et télétravail.</x:v>
      </x:c>
      <x:c r="AA19" s="12" t="str">
        <x:v>Compact | Silencieux | Pliable</x:v>
      </x:c>
      <x:c r="AB19" s="12" t="str">
        <x:v>Vitesse limitée | Pas pour course intense</x:v>
      </x:c>
      <x:c r="AC19" s="12" t="str">
        <x:v>Marche / petit espace</x:v>
      </x:c>
      <x:c r="AD19" s="12" t="str"/>
      <x:c r="AE19" s="38" t="str"/>
      <x:c r="AF19" s="40" t="str"/>
      <x:c r="AG19" s="12" t="str">
        <x:v>À rechercher</x:v>
      </x:c>
      <x:c r="AH19" s="12" t="str"/>
      <x:c r="AI19" s="12" t="str">
        <x:v>Vérifier modèle officiel.</x:v>
      </x:c>
    </x:row>
    <x:row r="20">
      <x:c r="A20" s="12" t="str">
        <x:v>MG-TAPIS-002</x:v>
      </x:c>
      <x:c r="B20" s="12" t="str">
        <x:v>Tapis de course pliable</x:v>
      </x:c>
      <x:c r="C20" s="12" t="n">
        <x:v>2</x:v>
      </x:c>
      <x:c r="D20" s="12" t="str">
        <x:v>Meilleur rapport qualité/prix</x:v>
      </x:c>
      <x:c r="E20" s="12" t="str">
        <x:v>Walking Pad</x:v>
      </x:c>
      <x:c r="F20" s="12" t="str">
        <x:v>CITYSPORTS</x:v>
      </x:c>
      <x:c r="G20" s="12" t="str"/>
      <x:c r="H20" s="12" t="str"/>
      <x:c r="I20" s="12" t="str"/>
      <x:c r="J20" s="12" t="str"/>
      <x:c r="K20" s="12" t="str">
        <x:f>IF(OR(H20="",J20=""),"", "https://www.amazon.fr/dp/"&amp;H20&amp;"?tag="&amp;J20)</x:f>
      </x:c>
      <x:c r="L20" s="12" t="str"/>
      <x:c r="M20" s="36" t="str"/>
      <x:c r="N20" s="12" t="str">
        <x:v>Essentials</x:v>
      </x:c>
      <x:c r="O20" s="12" t="str"/>
      <x:c r="P20" s="12" t="str"/>
      <x:c r="Q20" s="12" t="str"/>
      <x:c r="R20" s="12" t="str"/>
      <x:c r="S20" s="12" t="str"/>
      <x:c r="T20" s="12" t="str"/>
      <x:c r="U20" s="12" t="n">
        <x:f>IF(COUNTA(O20:T20)=0,"",SUM(O20:T20))</x:f>
        <x:v>0</x:v>
      </x:c>
      <x:c r="V20" s="12" t="str">
        <x:f>IF(U20="","",IF(U20&gt;=95,"Exceptionnel",IF(U20&gt;=90,"Excellent",IF(U20&gt;=85,"Très bon",IF(U20&gt;=80,"Bon",IF(U20&gt;=70,"Correct","À revoir"))))))</x:f>
      </x:c>
      <x:c r="W20" s="12" t="str">
        <x:v>Oui</x:v>
      </x:c>
      <x:c r="X20" s="12" t="str">
        <x:v>Oui</x:v>
      </x:c>
      <x:c r="Y20" s="12" t="str"/>
      <x:c r="Z20" s="12" t="str">
        <x:v>Solution accessible pour marcher à domicile.</x:v>
      </x:c>
      <x:c r="AA20" s="12" t="str">
        <x:v>Prix | Compact | Simple</x:v>
      </x:c>
      <x:c r="AB20" s="12" t="str">
        <x:v>SAV et longévité à vérifier</x:v>
      </x:c>
      <x:c r="AC20" s="12" t="str">
        <x:v>Débutant / marche</x:v>
      </x:c>
      <x:c r="AD20" s="12" t="str"/>
      <x:c r="AE20" s="38" t="str"/>
      <x:c r="AF20" s="40" t="str"/>
      <x:c r="AG20" s="12" t="str">
        <x:v>À rechercher</x:v>
      </x:c>
      <x:c r="AH20" s="12" t="str"/>
      <x:c r="AI20" s="12" t="str">
        <x:v>Sélection exacte selon stock Amazon FR.</x:v>
      </x:c>
    </x:row>
    <x:row r="21">
      <x:c r="A21" s="12" t="str">
        <x:v>MG-TAPIS-003</x:v>
      </x:c>
      <x:c r="B21" s="12" t="str">
        <x:v>Tapis de course pliable</x:v>
      </x:c>
      <x:c r="C21" s="12" t="n">
        <x:v>3</x:v>
      </x:c>
      <x:c r="D21" s="12" t="str">
        <x:v>Premium</x:v>
      </x:c>
      <x:c r="E21" s="12" t="str">
        <x:v>Commercial Series</x:v>
      </x:c>
      <x:c r="F21" s="12" t="str">
        <x:v>NordicTrack</x:v>
      </x:c>
      <x:c r="G21" s="12" t="str"/>
      <x:c r="H21" s="12" t="str"/>
      <x:c r="I21" s="12" t="str"/>
      <x:c r="J21" s="12" t="str"/>
      <x:c r="K21" s="12" t="str">
        <x:f>IF(OR(H21="",J21=""),"", "https://www.amazon.fr/dp/"&amp;H21&amp;"?tag="&amp;J21)</x:f>
      </x:c>
      <x:c r="L21" s="12" t="str"/>
      <x:c r="M21" s="36" t="str"/>
      <x:c r="N21" s="12" t="str">
        <x:v>Elite</x:v>
      </x:c>
      <x:c r="O21" s="12" t="str"/>
      <x:c r="P21" s="12" t="str"/>
      <x:c r="Q21" s="12" t="str"/>
      <x:c r="R21" s="12" t="str"/>
      <x:c r="S21" s="12" t="str"/>
      <x:c r="T21" s="12" t="str"/>
      <x:c r="U21" s="12" t="n">
        <x:f>IF(COUNTA(O21:T21)=0,"",SUM(O21:T21))</x:f>
        <x:v>0</x:v>
      </x:c>
      <x:c r="V21" s="12" t="str">
        <x:f>IF(U21="","",IF(U21&gt;=95,"Exceptionnel",IF(U21&gt;=90,"Excellent",IF(U21&gt;=85,"Très bon",IF(U21&gt;=80,"Bon",IF(U21&gt;=70,"Correct","À revoir"))))))</x:f>
      </x:c>
      <x:c r="W21" s="12" t="str"/>
      <x:c r="X21" s="12" t="str">
        <x:v>Oui</x:v>
      </x:c>
      <x:c r="Y21" s="12" t="str">
        <x:v>Oui</x:v>
      </x:c>
      <x:c r="Z21" s="12" t="str">
        <x:v>Tapis premium pour entraînement cardio complet.</x:v>
      </x:c>
      <x:c r="AA21" s="12" t="str">
        <x:v>Puissance | Confort | Fonctions connectées</x:v>
      </x:c>
      <x:c r="AB21" s="12" t="str">
        <x:v>Très cher | Encombrant</x:v>
      </x:c>
      <x:c r="AC21" s="12" t="str">
        <x:v>Sportif exigeant</x:v>
      </x:c>
      <x:c r="AD21" s="12" t="str"/>
      <x:c r="AE21" s="38" t="str"/>
      <x:c r="AF21" s="40" t="str"/>
      <x:c r="AG21" s="12" t="str">
        <x:v>À rechercher</x:v>
      </x:c>
      <x:c r="AH21" s="12" t="str"/>
      <x:c r="AI21" s="12" t="str">
        <x:v>Choisir un modèle réellement pliable et disponible.</x:v>
      </x:c>
    </x:row>
    <x:row r="22">
      <x:c r="A22" s="12" t="str">
        <x:v>MG-VELO-001</x:v>
      </x:c>
      <x:c r="B22" s="12" t="str">
        <x:v>Vélo d'appartement</x:v>
      </x:c>
      <x:c r="C22" s="12" t="n">
        <x:v>1</x:v>
      </x:c>
      <x:c r="D22" s="12" t="str">
        <x:v>Choix MuscuGuide</x:v>
      </x:c>
      <x:c r="E22" s="12" t="str">
        <x:v>IC8</x:v>
      </x:c>
      <x:c r="F22" s="12" t="str">
        <x:v>Schwinn</x:v>
      </x:c>
      <x:c r="G22" s="12" t="str"/>
      <x:c r="H22" s="12" t="str"/>
      <x:c r="I22" s="12" t="str"/>
      <x:c r="J22" s="12" t="str"/>
      <x:c r="K22" s="12" t="str">
        <x:f>IF(OR(H22="",J22=""),"", "https://www.amazon.fr/dp/"&amp;H22&amp;"?tag="&amp;J22)</x:f>
      </x:c>
      <x:c r="L22" s="12" t="str"/>
      <x:c r="M22" s="36" t="str"/>
      <x:c r="N22" s="12" t="str">
        <x:v>Performance</x:v>
      </x:c>
      <x:c r="O22" s="12" t="str"/>
      <x:c r="P22" s="12" t="str"/>
      <x:c r="Q22" s="12" t="str"/>
      <x:c r="R22" s="12" t="str"/>
      <x:c r="S22" s="12" t="str"/>
      <x:c r="T22" s="12" t="str"/>
      <x:c r="U22" s="12" t="n">
        <x:f>IF(COUNTA(O22:T22)=0,"",SUM(O22:T22))</x:f>
        <x:v>0</x:v>
      </x:c>
      <x:c r="V22" s="12" t="str">
        <x:f>IF(U22="","",IF(U22&gt;=95,"Exceptionnel",IF(U22&gt;=90,"Excellent",IF(U22&gt;=85,"Très bon",IF(U22&gt;=80,"Bon",IF(U22&gt;=70,"Correct","À revoir"))))))</x:f>
      </x:c>
      <x:c r="W22" s="12" t="str">
        <x:v>Oui</x:v>
      </x:c>
      <x:c r="X22" s="12" t="str">
        <x:v>Oui</x:v>
      </x:c>
      <x:c r="Y22" s="12" t="str">
        <x:v>Oui</x:v>
      </x:c>
      <x:c r="Z22" s="12" t="str">
        <x:v>Vélo indoor robuste pour entraînements réguliers.</x:v>
      </x:c>
      <x:c r="AA22" s="12" t="str">
        <x:v>Stabilité | Résistance | Connectivité</x:v>
      </x:c>
      <x:c r="AB22" s="12" t="str">
        <x:v>Prix | Encombrement</x:v>
      </x:c>
      <x:c r="AC22" s="12" t="str">
        <x:v>Intermédiaire / confirmé</x:v>
      </x:c>
      <x:c r="AD22" s="12" t="str"/>
      <x:c r="AE22" s="38" t="str"/>
      <x:c r="AF22" s="40" t="str"/>
      <x:c r="AG22" s="12" t="str">
        <x:v>À rechercher</x:v>
      </x:c>
      <x:c r="AH22" s="12" t="str"/>
      <x:c r="AI22" s="12" t="str">
        <x:v>Vérifier dénomination IC8/IC4 selon marché.</x:v>
      </x:c>
    </x:row>
    <x:row r="23">
      <x:c r="A23" s="12" t="str">
        <x:v>MG-VELO-002</x:v>
      </x:c>
      <x:c r="B23" s="12" t="str">
        <x:v>Vélo d'appartement</x:v>
      </x:c>
      <x:c r="C23" s="12" t="n">
        <x:v>2</x:v>
      </x:c>
      <x:c r="D23" s="12" t="str">
        <x:v>Meilleur rapport qualité/prix</x:v>
      </x:c>
      <x:c r="E23" s="12" t="str">
        <x:v>ESX500</x:v>
      </x:c>
      <x:c r="F23" s="12" t="str">
        <x:v>Sportstech</x:v>
      </x:c>
      <x:c r="G23" s="12" t="str"/>
      <x:c r="H23" s="12" t="str"/>
      <x:c r="I23" s="12" t="str"/>
      <x:c r="J23" s="12" t="str"/>
      <x:c r="K23" s="12" t="str">
        <x:f>IF(OR(H23="",J23=""),"", "https://www.amazon.fr/dp/"&amp;H23&amp;"?tag="&amp;J23)</x:f>
      </x:c>
      <x:c r="L23" s="12" t="str"/>
      <x:c r="M23" s="36" t="str"/>
      <x:c r="N23" s="12" t="str">
        <x:v>Essentials</x:v>
      </x:c>
      <x:c r="O23" s="12" t="str"/>
      <x:c r="P23" s="12" t="str"/>
      <x:c r="Q23" s="12" t="str"/>
      <x:c r="R23" s="12" t="str"/>
      <x:c r="S23" s="12" t="str"/>
      <x:c r="T23" s="12" t="str"/>
      <x:c r="U23" s="12" t="n">
        <x:f>IF(COUNTA(O23:T23)=0,"",SUM(O23:T23))</x:f>
        <x:v>0</x:v>
      </x:c>
      <x:c r="V23" s="12" t="str">
        <x:f>IF(U23="","",IF(U23&gt;=95,"Exceptionnel",IF(U23&gt;=90,"Excellent",IF(U23&gt;=85,"Très bon",IF(U23&gt;=80,"Bon",IF(U23&gt;=70,"Correct","À revoir"))))))</x:f>
      </x:c>
      <x:c r="W23" s="12" t="str">
        <x:v>Oui</x:v>
      </x:c>
      <x:c r="X23" s="12" t="str">
        <x:v>Oui</x:v>
      </x:c>
      <x:c r="Y23" s="12" t="str"/>
      <x:c r="Z23" s="12" t="str">
        <x:v>Vélo d'appartement polyvalent à tarif contenu.</x:v>
      </x:c>
      <x:c r="AA23" s="12" t="str">
        <x:v>Rapport équipement/prix | Réglages</x:v>
      </x:c>
      <x:c r="AB23" s="12" t="str">
        <x:v>SAV et disponibilité à vérifier</x:v>
      </x:c>
      <x:c r="AC23" s="12" t="str">
        <x:v>Débutant / intermédiaire</x:v>
      </x:c>
      <x:c r="AD23" s="12" t="str"/>
      <x:c r="AE23" s="38" t="str"/>
      <x:c r="AF23" s="40" t="str"/>
      <x:c r="AG23" s="12" t="str">
        <x:v>À rechercher</x:v>
      </x:c>
      <x:c r="AH23" s="12" t="str"/>
      <x:c r="AI23" s="12" t="str">
        <x:v>Vérifier modèle encore commercialisé.</x:v>
      </x:c>
    </x:row>
    <x:row r="24">
      <x:c r="A24" s="12" t="str">
        <x:v>MG-VELO-003</x:v>
      </x:c>
      <x:c r="B24" s="12" t="str">
        <x:v>Vélo d'appartement</x:v>
      </x:c>
      <x:c r="C24" s="12" t="n">
        <x:v>3</x:v>
      </x:c>
      <x:c r="D24" s="12" t="str">
        <x:v>Premium</x:v>
      </x:c>
      <x:c r="E24" s="12" t="str">
        <x:v>S22i</x:v>
      </x:c>
      <x:c r="F24" s="12" t="str">
        <x:v>NordicTrack</x:v>
      </x:c>
      <x:c r="G24" s="12" t="str"/>
      <x:c r="H24" s="12" t="str"/>
      <x:c r="I24" s="12" t="str"/>
      <x:c r="J24" s="12" t="str"/>
      <x:c r="K24" s="12" t="str">
        <x:f>IF(OR(H24="",J24=""),"", "https://www.amazon.fr/dp/"&amp;H24&amp;"?tag="&amp;J24)</x:f>
      </x:c>
      <x:c r="L24" s="12" t="str"/>
      <x:c r="M24" s="36" t="str"/>
      <x:c r="N24" s="12" t="str">
        <x:v>Elite</x:v>
      </x:c>
      <x:c r="O24" s="12" t="str"/>
      <x:c r="P24" s="12" t="str"/>
      <x:c r="Q24" s="12" t="str"/>
      <x:c r="R24" s="12" t="str"/>
      <x:c r="S24" s="12" t="str"/>
      <x:c r="T24" s="12" t="str"/>
      <x:c r="U24" s="12" t="n">
        <x:f>IF(COUNTA(O24:T24)=0,"",SUM(O24:T24))</x:f>
        <x:v>0</x:v>
      </x:c>
      <x:c r="V24" s="12" t="str">
        <x:f>IF(U24="","",IF(U24&gt;=95,"Exceptionnel",IF(U24&gt;=90,"Excellent",IF(U24&gt;=85,"Très bon",IF(U24&gt;=80,"Bon",IF(U24&gt;=70,"Correct","À revoir"))))))</x:f>
      </x:c>
      <x:c r="W24" s="12" t="str"/>
      <x:c r="X24" s="12" t="str">
        <x:v>Oui</x:v>
      </x:c>
      <x:c r="Y24" s="12" t="str">
        <x:v>Oui</x:v>
      </x:c>
      <x:c r="Z24" s="12" t="str">
        <x:v>Vélo premium avec écran et entraînements connectés.</x:v>
      </x:c>
      <x:c r="AA24" s="12" t="str">
        <x:v>Écran | Immersion | Réglages</x:v>
      </x:c>
      <x:c r="AB24" s="12" t="str">
        <x:v>Très cher | Abonnement possible</x:v>
      </x:c>
      <x:c r="AC24" s="12" t="str">
        <x:v>Home gym premium</x:v>
      </x:c>
      <x:c r="AD24" s="12" t="str"/>
      <x:c r="AE24" s="38" t="str"/>
      <x:c r="AF24" s="40" t="str"/>
      <x:c r="AG24" s="12" t="str">
        <x:v>À rechercher</x:v>
      </x:c>
      <x:c r="AH24" s="12" t="str"/>
      <x:c r="AI24" s="12" t="str">
        <x:v>Vérifier disponibilité et conditions iFit.</x:v>
      </x:c>
    </x:row>
    <x:row r="25">
      <x:c r="A25" s="12" t="str">
        <x:v>MG-TRAC-001</x:v>
      </x:c>
      <x:c r="B25" s="12" t="str">
        <x:v>Barre de traction</x:v>
      </x:c>
      <x:c r="C25" s="12" t="n">
        <x:v>1</x:v>
      </x:c>
      <x:c r="D25" s="12" t="str">
        <x:v>Choix MuscuGuide</x:v>
      </x:c>
      <x:c r="E25" s="12" t="str">
        <x:v>KS300</x:v>
      </x:c>
      <x:c r="F25" s="12" t="str">
        <x:v>Sportstech</x:v>
      </x:c>
      <x:c r="G25" s="12" t="str"/>
      <x:c r="H25" s="12" t="str"/>
      <x:c r="I25" s="12" t="str"/>
      <x:c r="J25" s="12" t="str"/>
      <x:c r="K25" s="12" t="str">
        <x:f>IF(OR(H25="",J25=""),"", "https://www.amazon.fr/dp/"&amp;H25&amp;"?tag="&amp;J25)</x:f>
      </x:c>
      <x:c r="L25" s="12" t="str"/>
      <x:c r="M25" s="36" t="str"/>
      <x:c r="N25" s="12" t="str">
        <x:v>Performance</x:v>
      </x:c>
      <x:c r="O25" s="12" t="str"/>
      <x:c r="P25" s="12" t="str"/>
      <x:c r="Q25" s="12" t="str"/>
      <x:c r="R25" s="12" t="str"/>
      <x:c r="S25" s="12" t="str"/>
      <x:c r="T25" s="12" t="str"/>
      <x:c r="U25" s="12" t="n">
        <x:f>IF(COUNTA(O25:T25)=0,"",SUM(O25:T25))</x:f>
        <x:v>0</x:v>
      </x:c>
      <x:c r="V25" s="12" t="str">
        <x:f>IF(U25="","",IF(U25&gt;=95,"Exceptionnel",IF(U25&gt;=90,"Excellent",IF(U25&gt;=85,"Très bon",IF(U25&gt;=80,"Bon",IF(U25&gt;=70,"Correct","À revoir"))))))</x:f>
      </x:c>
      <x:c r="W25" s="12" t="str">
        <x:v>Oui</x:v>
      </x:c>
      <x:c r="X25" s="12" t="str">
        <x:v>Oui</x:v>
      </x:c>
      <x:c r="Y25" s="12" t="str">
        <x:v>Oui</x:v>
      </x:c>
      <x:c r="Z25" s="12" t="str">
        <x:v>Barre polyvalente pour entraînement du haut du corps.</x:v>
      </x:c>
      <x:c r="AA25" s="12" t="str">
        <x:v>Multiprises | Polyvalence | Marque connue</x:v>
      </x:c>
      <x:c r="AB25" s="12" t="str">
        <x:v>Compatibilité porte à vérifier</x:v>
      </x:c>
      <x:c r="AC25" s="12" t="str">
        <x:v>Home gym</x:v>
      </x:c>
      <x:c r="AD25" s="12" t="str"/>
      <x:c r="AE25" s="38" t="str"/>
      <x:c r="AF25" s="40" t="str"/>
      <x:c r="AG25" s="12" t="str">
        <x:v>À rechercher</x:v>
      </x:c>
      <x:c r="AH25" s="12" t="str"/>
      <x:c r="AI25" s="12" t="str">
        <x:v>Vérifier version exacte.</x:v>
      </x:c>
    </x:row>
    <x:row r="26">
      <x:c r="A26" s="12" t="str">
        <x:v>MG-TRAC-002</x:v>
      </x:c>
      <x:c r="B26" s="12" t="str">
        <x:v>Barre de traction</x:v>
      </x:c>
      <x:c r="C26" s="12" t="n">
        <x:v>2</x:v>
      </x:c>
      <x:c r="D26" s="12" t="str">
        <x:v>Meilleur rapport qualité/prix</x:v>
      </x:c>
      <x:c r="E26" s="12" t="str">
        <x:v>Wall Mounted Pull-Up Bar</x:v>
      </x:c>
      <x:c r="F26" s="12" t="str">
        <x:v>ONETWOFIT</x:v>
      </x:c>
      <x:c r="G26" s="12" t="str"/>
      <x:c r="H26" s="12" t="str"/>
      <x:c r="I26" s="12" t="str"/>
      <x:c r="J26" s="12" t="str"/>
      <x:c r="K26" s="12" t="str">
        <x:f>IF(OR(H26="",J26=""),"", "https://www.amazon.fr/dp/"&amp;H26&amp;"?tag="&amp;J26)</x:f>
      </x:c>
      <x:c r="L26" s="12" t="str"/>
      <x:c r="M26" s="36" t="str"/>
      <x:c r="N26" s="12" t="str">
        <x:v>Essentials</x:v>
      </x:c>
      <x:c r="O26" s="12" t="str"/>
      <x:c r="P26" s="12" t="str"/>
      <x:c r="Q26" s="12" t="str"/>
      <x:c r="R26" s="12" t="str"/>
      <x:c r="S26" s="12" t="str"/>
      <x:c r="T26" s="12" t="str"/>
      <x:c r="U26" s="12" t="n">
        <x:f>IF(COUNTA(O26:T26)=0,"",SUM(O26:T26))</x:f>
        <x:v>0</x:v>
      </x:c>
      <x:c r="V26" s="12" t="str">
        <x:f>IF(U26="","",IF(U26&gt;=95,"Exceptionnel",IF(U26&gt;=90,"Excellent",IF(U26&gt;=85,"Très bon",IF(U26&gt;=80,"Bon",IF(U26&gt;=70,"Correct","À revoir"))))))</x:f>
      </x:c>
      <x:c r="W26" s="12" t="str">
        <x:v>Oui</x:v>
      </x:c>
      <x:c r="X26" s="12" t="str">
        <x:v>Oui</x:v>
      </x:c>
      <x:c r="Y26" s="12" t="str">
        <x:v>Oui</x:v>
      </x:c>
      <x:c r="Z26" s="12" t="str">
        <x:v>Barre murale robuste à prix compétitif.</x:v>
      </x:c>
      <x:c r="AA26" s="12" t="str">
        <x:v>Stabilité | Multiprises | Prix</x:v>
      </x:c>
      <x:c r="AB26" s="12" t="str">
        <x:v>Installation avec perçage</x:v>
      </x:c>
      <x:c r="AC26" s="12" t="str">
        <x:v>Débutant à confirmé</x:v>
      </x:c>
      <x:c r="AD26" s="12" t="str"/>
      <x:c r="AE26" s="38" t="str"/>
      <x:c r="AF26" s="40" t="str"/>
      <x:c r="AG26" s="12" t="str">
        <x:v>À rechercher</x:v>
      </x:c>
      <x:c r="AH26" s="12" t="str"/>
      <x:c r="AI26" s="12" t="str">
        <x:v>Vérifier charge max et fixations.</x:v>
      </x:c>
    </x:row>
    <x:row r="27">
      <x:c r="A27" s="12" t="str">
        <x:v>MG-TRAC-003</x:v>
      </x:c>
      <x:c r="B27" s="12" t="str">
        <x:v>Barre de traction</x:v>
      </x:c>
      <x:c r="C27" s="12" t="n">
        <x:v>3</x:v>
      </x:c>
      <x:c r="D27" s="12" t="str">
        <x:v>Premium</x:v>
      </x:c>
      <x:c r="E27" s="12" t="str">
        <x:v>Pull-Up &amp; Dip Bar</x:v>
      </x:c>
      <x:c r="F27" s="12" t="str">
        <x:v>Pullup &amp; Dip</x:v>
      </x:c>
      <x:c r="G27" s="12" t="str"/>
      <x:c r="H27" s="12" t="str"/>
      <x:c r="I27" s="12" t="str"/>
      <x:c r="J27" s="12" t="str"/>
      <x:c r="K27" s="12" t="str">
        <x:f>IF(OR(H27="",J27=""),"", "https://www.amazon.fr/dp/"&amp;H27&amp;"?tag="&amp;J27)</x:f>
      </x:c>
      <x:c r="L27" s="12" t="str"/>
      <x:c r="M27" s="36" t="str"/>
      <x:c r="N27" s="12" t="str">
        <x:v>Elite</x:v>
      </x:c>
      <x:c r="O27" s="12" t="str"/>
      <x:c r="P27" s="12" t="str"/>
      <x:c r="Q27" s="12" t="str"/>
      <x:c r="R27" s="12" t="str"/>
      <x:c r="S27" s="12" t="str"/>
      <x:c r="T27" s="12" t="str"/>
      <x:c r="U27" s="12" t="n">
        <x:f>IF(COUNTA(O27:T27)=0,"",SUM(O27:T27))</x:f>
        <x:v>0</x:v>
      </x:c>
      <x:c r="V27" s="12" t="str">
        <x:f>IF(U27="","",IF(U27&gt;=95,"Exceptionnel",IF(U27&gt;=90,"Excellent",IF(U27&gt;=85,"Très bon",IF(U27&gt;=80,"Bon",IF(U27&gt;=70,"Correct","À revoir"))))))</x:f>
      </x:c>
      <x:c r="W27" s="12" t="str"/>
      <x:c r="X27" s="12" t="str">
        <x:v>Oui</x:v>
      </x:c>
      <x:c r="Y27" s="12" t="str">
        <x:v>Oui</x:v>
      </x:c>
      <x:c r="Z27" s="12" t="str">
        <x:v>Solution premium pour calisthénie et usage intensif.</x:v>
      </x:c>
      <x:c r="AA27" s="12" t="str">
        <x:v>Finition | Polyvalence | Stabilité</x:v>
      </x:c>
      <x:c r="AB27" s="12" t="str">
        <x:v>Prix élevé</x:v>
      </x:c>
      <x:c r="AC27" s="12" t="str">
        <x:v>Calisthénie / confirmé</x:v>
      </x:c>
      <x:c r="AD27" s="12" t="str"/>
      <x:c r="AE27" s="38" t="str"/>
      <x:c r="AF27" s="40" t="str"/>
      <x:c r="AG27" s="12" t="str">
        <x:v>À rechercher</x:v>
      </x:c>
      <x:c r="AH27" s="12" t="str"/>
      <x:c r="AI27" s="12" t="str">
        <x:v>Identifier modèle mural ou extérieur exact.</x:v>
      </x:c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 t="str">
        <x:f>IF(OR(H28="",J28=""),"", "https://www.amazon.fr/dp/"&amp;H28&amp;"?tag="&amp;J28)</x:f>
      </x:c>
      <x:c r="L28" s="12"/>
      <x:c r="M28" s="36"/>
      <x:c r="N28" s="12"/>
      <x:c r="O28" s="12"/>
      <x:c r="P28" s="12"/>
      <x:c r="Q28" s="12"/>
      <x:c r="R28" s="12"/>
      <x:c r="S28" s="12"/>
      <x:c r="T28" s="12"/>
      <x:c r="U28" s="12" t="str">
        <x:f>IF(COUNTA(O28:T28)=0,"",SUM(O28:T28))</x:f>
      </x:c>
      <x:c r="V28" s="12" t="str">
        <x:f>IF(U28="","",IF(U28&gt;=95,"Exceptionnel",IF(U28&gt;=90,"Excellent",IF(U28&gt;=85,"Très bon",IF(U28&gt;=80,"Bon",IF(U28&gt;=70,"Correct","À revoir"))))))</x:f>
      </x:c>
      <x:c r="W28" s="12"/>
      <x:c r="X28" s="12"/>
      <x:c r="Y28" s="12"/>
      <x:c r="Z28" s="12"/>
      <x:c r="AA28" s="12"/>
      <x:c r="AB28" s="12"/>
      <x:c r="AC28" s="12"/>
      <x:c r="AD28" s="12"/>
      <x:c r="AE28" s="38"/>
      <x:c r="AF28" s="40"/>
      <x:c r="AG28" s="12"/>
      <x:c r="AH28" s="12"/>
      <x:c r="A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 t="str">
        <x:f>IF(OR(H29="",J29=""),"", "https://www.amazon.fr/dp/"&amp;H29&amp;"?tag="&amp;J29)</x:f>
      </x:c>
      <x:c r="L29" s="12"/>
      <x:c r="M29" s="36"/>
      <x:c r="N29" s="12"/>
      <x:c r="O29" s="12"/>
      <x:c r="P29" s="12"/>
      <x:c r="Q29" s="12"/>
      <x:c r="R29" s="12"/>
      <x:c r="S29" s="12"/>
      <x:c r="T29" s="12"/>
      <x:c r="U29" s="12" t="str">
        <x:f>IF(COUNTA(O29:T29)=0,"",SUM(O29:T29))</x:f>
      </x:c>
      <x:c r="V29" s="12" t="str">
        <x:f>IF(U29="","",IF(U29&gt;=95,"Exceptionnel",IF(U29&gt;=90,"Excellent",IF(U29&gt;=85,"Très bon",IF(U29&gt;=80,"Bon",IF(U29&gt;=70,"Correct","À revoir"))))))</x:f>
      </x:c>
      <x:c r="W29" s="12"/>
      <x:c r="X29" s="12"/>
      <x:c r="Y29" s="12"/>
      <x:c r="Z29" s="12"/>
      <x:c r="AA29" s="12"/>
      <x:c r="AB29" s="12"/>
      <x:c r="AC29" s="12"/>
      <x:c r="AD29" s="12"/>
      <x:c r="AE29" s="38"/>
      <x:c r="AF29" s="40"/>
      <x:c r="AG29" s="12"/>
      <x:c r="AH29" s="12"/>
      <x:c r="A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 t="str">
        <x:f>IF(OR(H30="",J30=""),"", "https://www.amazon.fr/dp/"&amp;H30&amp;"?tag="&amp;J30)</x:f>
      </x:c>
      <x:c r="L30" s="12"/>
      <x:c r="M30" s="36"/>
      <x:c r="N30" s="12"/>
      <x:c r="O30" s="12"/>
      <x:c r="P30" s="12"/>
      <x:c r="Q30" s="12"/>
      <x:c r="R30" s="12"/>
      <x:c r="S30" s="12"/>
      <x:c r="T30" s="12"/>
      <x:c r="U30" s="12" t="str">
        <x:f>IF(COUNTA(O30:T30)=0,"",SUM(O30:T30))</x:f>
      </x:c>
      <x:c r="V30" s="12" t="str">
        <x:f>IF(U30="","",IF(U30&gt;=95,"Exceptionnel",IF(U30&gt;=90,"Excellent",IF(U30&gt;=85,"Très bon",IF(U30&gt;=80,"Bon",IF(U30&gt;=70,"Correct","À revoir"))))))</x:f>
      </x:c>
      <x:c r="W30" s="12"/>
      <x:c r="X30" s="12"/>
      <x:c r="Y30" s="12"/>
      <x:c r="Z30" s="12"/>
      <x:c r="AA30" s="12"/>
      <x:c r="AB30" s="12"/>
      <x:c r="AC30" s="12"/>
      <x:c r="AD30" s="12"/>
      <x:c r="AE30" s="38"/>
      <x:c r="AF30" s="40"/>
      <x:c r="AG30" s="12"/>
      <x:c r="AH30" s="12"/>
      <x:c r="A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 t="str">
        <x:f>IF(OR(H31="",J31=""),"", "https://www.amazon.fr/dp/"&amp;H31&amp;"?tag="&amp;J31)</x:f>
      </x:c>
      <x:c r="L31" s="12"/>
      <x:c r="M31" s="36"/>
      <x:c r="N31" s="12"/>
      <x:c r="O31" s="12"/>
      <x:c r="P31" s="12"/>
      <x:c r="Q31" s="12"/>
      <x:c r="R31" s="12"/>
      <x:c r="S31" s="12"/>
      <x:c r="T31" s="12"/>
      <x:c r="U31" s="12" t="str">
        <x:f>IF(COUNTA(O31:T31)=0,"",SUM(O31:T31))</x:f>
      </x:c>
      <x:c r="V31" s="12" t="str">
        <x:f>IF(U31="","",IF(U31&gt;=95,"Exceptionnel",IF(U31&gt;=90,"Excellent",IF(U31&gt;=85,"Très bon",IF(U31&gt;=80,"Bon",IF(U31&gt;=70,"Correct","À revoir"))))))</x:f>
      </x:c>
      <x:c r="W31" s="12"/>
      <x:c r="X31" s="12"/>
      <x:c r="Y31" s="12"/>
      <x:c r="Z31" s="12"/>
      <x:c r="AA31" s="12"/>
      <x:c r="AB31" s="12"/>
      <x:c r="AC31" s="12"/>
      <x:c r="AD31" s="12"/>
      <x:c r="AE31" s="38"/>
      <x:c r="AF31" s="40"/>
      <x:c r="AG31" s="12"/>
      <x:c r="AH31" s="12"/>
      <x:c r="A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 t="str">
        <x:f>IF(OR(H32="",J32=""),"", "https://www.amazon.fr/dp/"&amp;H32&amp;"?tag="&amp;J32)</x:f>
      </x:c>
      <x:c r="L32" s="12"/>
      <x:c r="M32" s="36"/>
      <x:c r="N32" s="12"/>
      <x:c r="O32" s="12"/>
      <x:c r="P32" s="12"/>
      <x:c r="Q32" s="12"/>
      <x:c r="R32" s="12"/>
      <x:c r="S32" s="12"/>
      <x:c r="T32" s="12"/>
      <x:c r="U32" s="12" t="str">
        <x:f>IF(COUNTA(O32:T32)=0,"",SUM(O32:T32))</x:f>
      </x:c>
      <x:c r="V32" s="12" t="str">
        <x:f>IF(U32="","",IF(U32&gt;=95,"Exceptionnel",IF(U32&gt;=90,"Excellent",IF(U32&gt;=85,"Très bon",IF(U32&gt;=80,"Bon",IF(U32&gt;=70,"Correct","À revoir"))))))</x:f>
      </x:c>
      <x:c r="W32" s="12"/>
      <x:c r="X32" s="12"/>
      <x:c r="Y32" s="12"/>
      <x:c r="Z32" s="12"/>
      <x:c r="AA32" s="12"/>
      <x:c r="AB32" s="12"/>
      <x:c r="AC32" s="12"/>
      <x:c r="AD32" s="12"/>
      <x:c r="AE32" s="38"/>
      <x:c r="AF32" s="40"/>
      <x:c r="AG32" s="12"/>
      <x:c r="AH32" s="12"/>
      <x:c r="A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 t="str">
        <x:f>IF(OR(H33="",J33=""),"", "https://www.amazon.fr/dp/"&amp;H33&amp;"?tag="&amp;J33)</x:f>
      </x:c>
      <x:c r="L33" s="12"/>
      <x:c r="M33" s="36"/>
      <x:c r="N33" s="12"/>
      <x:c r="O33" s="12"/>
      <x:c r="P33" s="12"/>
      <x:c r="Q33" s="12"/>
      <x:c r="R33" s="12"/>
      <x:c r="S33" s="12"/>
      <x:c r="T33" s="12"/>
      <x:c r="U33" s="12" t="str">
        <x:f>IF(COUNTA(O33:T33)=0,"",SUM(O33:T33))</x:f>
      </x:c>
      <x:c r="V33" s="12" t="str">
        <x:f>IF(U33="","",IF(U33&gt;=95,"Exceptionnel",IF(U33&gt;=90,"Excellent",IF(U33&gt;=85,"Très bon",IF(U33&gt;=80,"Bon",IF(U33&gt;=70,"Correct","À revoir"))))))</x:f>
      </x:c>
      <x:c r="W33" s="12"/>
      <x:c r="X33" s="12"/>
      <x:c r="Y33" s="12"/>
      <x:c r="Z33" s="12"/>
      <x:c r="AA33" s="12"/>
      <x:c r="AB33" s="12"/>
      <x:c r="AC33" s="12"/>
      <x:c r="AD33" s="12"/>
      <x:c r="AE33" s="38"/>
      <x:c r="AF33" s="40"/>
      <x:c r="AG33" s="12"/>
      <x:c r="AH33" s="12"/>
      <x:c r="A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 t="str">
        <x:f>IF(OR(H34="",J34=""),"", "https://www.amazon.fr/dp/"&amp;H34&amp;"?tag="&amp;J34)</x:f>
      </x:c>
      <x:c r="L34" s="12"/>
      <x:c r="M34" s="36"/>
      <x:c r="N34" s="12"/>
      <x:c r="O34" s="12"/>
      <x:c r="P34" s="12"/>
      <x:c r="Q34" s="12"/>
      <x:c r="R34" s="12"/>
      <x:c r="S34" s="12"/>
      <x:c r="T34" s="12"/>
      <x:c r="U34" s="12" t="str">
        <x:f>IF(COUNTA(O34:T34)=0,"",SUM(O34:T34))</x:f>
      </x:c>
      <x:c r="V34" s="12" t="str">
        <x:f>IF(U34="","",IF(U34&gt;=95,"Exceptionnel",IF(U34&gt;=90,"Excellent",IF(U34&gt;=85,"Très bon",IF(U34&gt;=80,"Bon",IF(U34&gt;=70,"Correct","À revoir"))))))</x:f>
      </x:c>
      <x:c r="W34" s="12"/>
      <x:c r="X34" s="12"/>
      <x:c r="Y34" s="12"/>
      <x:c r="Z34" s="12"/>
      <x:c r="AA34" s="12"/>
      <x:c r="AB34" s="12"/>
      <x:c r="AC34" s="12"/>
      <x:c r="AD34" s="12"/>
      <x:c r="AE34" s="38"/>
      <x:c r="AF34" s="40"/>
      <x:c r="AG34" s="12"/>
      <x:c r="AH34" s="12"/>
      <x:c r="A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 t="str">
        <x:f>IF(OR(H35="",J35=""),"", "https://www.amazon.fr/dp/"&amp;H35&amp;"?tag="&amp;J35)</x:f>
      </x:c>
      <x:c r="L35" s="12"/>
      <x:c r="M35" s="36"/>
      <x:c r="N35" s="12"/>
      <x:c r="O35" s="12"/>
      <x:c r="P35" s="12"/>
      <x:c r="Q35" s="12"/>
      <x:c r="R35" s="12"/>
      <x:c r="S35" s="12"/>
      <x:c r="T35" s="12"/>
      <x:c r="U35" s="12" t="str">
        <x:f>IF(COUNTA(O35:T35)=0,"",SUM(O35:T35))</x:f>
      </x:c>
      <x:c r="V35" s="12" t="str">
        <x:f>IF(U35="","",IF(U35&gt;=95,"Exceptionnel",IF(U35&gt;=90,"Excellent",IF(U35&gt;=85,"Très bon",IF(U35&gt;=80,"Bon",IF(U35&gt;=70,"Correct","À revoir"))))))</x:f>
      </x:c>
      <x:c r="W35" s="12"/>
      <x:c r="X35" s="12"/>
      <x:c r="Y35" s="12"/>
      <x:c r="Z35" s="12"/>
      <x:c r="AA35" s="12"/>
      <x:c r="AB35" s="12"/>
      <x:c r="AC35" s="12"/>
      <x:c r="AD35" s="12"/>
      <x:c r="AE35" s="38"/>
      <x:c r="AF35" s="40"/>
      <x:c r="AG35" s="12"/>
      <x:c r="AH35" s="12"/>
      <x:c r="A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 t="str">
        <x:f>IF(OR(H36="",J36=""),"", "https://www.amazon.fr/dp/"&amp;H36&amp;"?tag="&amp;J36)</x:f>
      </x:c>
      <x:c r="L36" s="12"/>
      <x:c r="M36" s="36"/>
      <x:c r="N36" s="12"/>
      <x:c r="O36" s="12"/>
      <x:c r="P36" s="12"/>
      <x:c r="Q36" s="12"/>
      <x:c r="R36" s="12"/>
      <x:c r="S36" s="12"/>
      <x:c r="T36" s="12"/>
      <x:c r="U36" s="12" t="str">
        <x:f>IF(COUNTA(O36:T36)=0,"",SUM(O36:T36))</x:f>
      </x:c>
      <x:c r="V36" s="12" t="str">
        <x:f>IF(U36="","",IF(U36&gt;=95,"Exceptionnel",IF(U36&gt;=90,"Excellent",IF(U36&gt;=85,"Très bon",IF(U36&gt;=80,"Bon",IF(U36&gt;=70,"Correct","À revoir"))))))</x:f>
      </x:c>
      <x:c r="W36" s="12"/>
      <x:c r="X36" s="12"/>
      <x:c r="Y36" s="12"/>
      <x:c r="Z36" s="12"/>
      <x:c r="AA36" s="12"/>
      <x:c r="AB36" s="12"/>
      <x:c r="AC36" s="12"/>
      <x:c r="AD36" s="12"/>
      <x:c r="AE36" s="38"/>
      <x:c r="AF36" s="40"/>
      <x:c r="AG36" s="12"/>
      <x:c r="AH36" s="12"/>
      <x:c r="A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 t="str">
        <x:f>IF(OR(H37="",J37=""),"", "https://www.amazon.fr/dp/"&amp;H37&amp;"?tag="&amp;J37)</x:f>
      </x:c>
      <x:c r="L37" s="12"/>
      <x:c r="M37" s="36"/>
      <x:c r="N37" s="12"/>
      <x:c r="O37" s="12"/>
      <x:c r="P37" s="12"/>
      <x:c r="Q37" s="12"/>
      <x:c r="R37" s="12"/>
      <x:c r="S37" s="12"/>
      <x:c r="T37" s="12"/>
      <x:c r="U37" s="12" t="str">
        <x:f>IF(COUNTA(O37:T37)=0,"",SUM(O37:T37))</x:f>
      </x:c>
      <x:c r="V37" s="12" t="str">
        <x:f>IF(U37="","",IF(U37&gt;=95,"Exceptionnel",IF(U37&gt;=90,"Excellent",IF(U37&gt;=85,"Très bon",IF(U37&gt;=80,"Bon",IF(U37&gt;=70,"Correct","À revoir"))))))</x:f>
      </x:c>
      <x:c r="W37" s="12"/>
      <x:c r="X37" s="12"/>
      <x:c r="Y37" s="12"/>
      <x:c r="Z37" s="12"/>
      <x:c r="AA37" s="12"/>
      <x:c r="AB37" s="12"/>
      <x:c r="AC37" s="12"/>
      <x:c r="AD37" s="12"/>
      <x:c r="AE37" s="38"/>
      <x:c r="AF37" s="40"/>
      <x:c r="AG37" s="12"/>
      <x:c r="AH37" s="12"/>
      <x:c r="A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 t="str">
        <x:f>IF(OR(H38="",J38=""),"", "https://www.amazon.fr/dp/"&amp;H38&amp;"?tag="&amp;J38)</x:f>
      </x:c>
      <x:c r="L38" s="12"/>
      <x:c r="M38" s="36"/>
      <x:c r="N38" s="12"/>
      <x:c r="O38" s="12"/>
      <x:c r="P38" s="12"/>
      <x:c r="Q38" s="12"/>
      <x:c r="R38" s="12"/>
      <x:c r="S38" s="12"/>
      <x:c r="T38" s="12"/>
      <x:c r="U38" s="12" t="str">
        <x:f>IF(COUNTA(O38:T38)=0,"",SUM(O38:T38))</x:f>
      </x:c>
      <x:c r="V38" s="12" t="str">
        <x:f>IF(U38="","",IF(U38&gt;=95,"Exceptionnel",IF(U38&gt;=90,"Excellent",IF(U38&gt;=85,"Très bon",IF(U38&gt;=80,"Bon",IF(U38&gt;=70,"Correct","À revoir"))))))</x:f>
      </x:c>
      <x:c r="W38" s="12"/>
      <x:c r="X38" s="12"/>
      <x:c r="Y38" s="12"/>
      <x:c r="Z38" s="12"/>
      <x:c r="AA38" s="12"/>
      <x:c r="AB38" s="12"/>
      <x:c r="AC38" s="12"/>
      <x:c r="AD38" s="12"/>
      <x:c r="AE38" s="38"/>
      <x:c r="AF38" s="40"/>
      <x:c r="AG38" s="12"/>
      <x:c r="AH38" s="12"/>
      <x:c r="A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 t="str">
        <x:f>IF(OR(H39="",J39=""),"", "https://www.amazon.fr/dp/"&amp;H39&amp;"?tag="&amp;J39)</x:f>
      </x:c>
      <x:c r="L39" s="12"/>
      <x:c r="M39" s="36"/>
      <x:c r="N39" s="12"/>
      <x:c r="O39" s="12"/>
      <x:c r="P39" s="12"/>
      <x:c r="Q39" s="12"/>
      <x:c r="R39" s="12"/>
      <x:c r="S39" s="12"/>
      <x:c r="T39" s="12"/>
      <x:c r="U39" s="12" t="str">
        <x:f>IF(COUNTA(O39:T39)=0,"",SUM(O39:T39))</x:f>
      </x:c>
      <x:c r="V39" s="12" t="str">
        <x:f>IF(U39="","",IF(U39&gt;=95,"Exceptionnel",IF(U39&gt;=90,"Excellent",IF(U39&gt;=85,"Très bon",IF(U39&gt;=80,"Bon",IF(U39&gt;=70,"Correct","À revoir"))))))</x:f>
      </x:c>
      <x:c r="W39" s="12"/>
      <x:c r="X39" s="12"/>
      <x:c r="Y39" s="12"/>
      <x:c r="Z39" s="12"/>
      <x:c r="AA39" s="12"/>
      <x:c r="AB39" s="12"/>
      <x:c r="AC39" s="12"/>
      <x:c r="AD39" s="12"/>
      <x:c r="AE39" s="38"/>
      <x:c r="AF39" s="40"/>
      <x:c r="AG39" s="12"/>
      <x:c r="AH39" s="12"/>
      <x:c r="A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 t="str">
        <x:f>IF(OR(H40="",J40=""),"", "https://www.amazon.fr/dp/"&amp;H40&amp;"?tag="&amp;J40)</x:f>
      </x:c>
      <x:c r="L40" s="12"/>
      <x:c r="M40" s="36"/>
      <x:c r="N40" s="12"/>
      <x:c r="O40" s="12"/>
      <x:c r="P40" s="12"/>
      <x:c r="Q40" s="12"/>
      <x:c r="R40" s="12"/>
      <x:c r="S40" s="12"/>
      <x:c r="T40" s="12"/>
      <x:c r="U40" s="12" t="str">
        <x:f>IF(COUNTA(O40:T40)=0,"",SUM(O40:T40))</x:f>
      </x:c>
      <x:c r="V40" s="12" t="str">
        <x:f>IF(U40="","",IF(U40&gt;=95,"Exceptionnel",IF(U40&gt;=90,"Excellent",IF(U40&gt;=85,"Très bon",IF(U40&gt;=80,"Bon",IF(U40&gt;=70,"Correct","À revoir"))))))</x:f>
      </x:c>
      <x:c r="W40" s="12"/>
      <x:c r="X40" s="12"/>
      <x:c r="Y40" s="12"/>
      <x:c r="Z40" s="12"/>
      <x:c r="AA40" s="12"/>
      <x:c r="AB40" s="12"/>
      <x:c r="AC40" s="12"/>
      <x:c r="AD40" s="12"/>
      <x:c r="AE40" s="38"/>
      <x:c r="AF40" s="40"/>
      <x:c r="AG40" s="12"/>
      <x:c r="AH40" s="12"/>
      <x:c r="A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 t="str">
        <x:f>IF(OR(H41="",J41=""),"", "https://www.amazon.fr/dp/"&amp;H41&amp;"?tag="&amp;J41)</x:f>
      </x:c>
      <x:c r="L41" s="12"/>
      <x:c r="M41" s="36"/>
      <x:c r="N41" s="12"/>
      <x:c r="O41" s="12"/>
      <x:c r="P41" s="12"/>
      <x:c r="Q41" s="12"/>
      <x:c r="R41" s="12"/>
      <x:c r="S41" s="12"/>
      <x:c r="T41" s="12"/>
      <x:c r="U41" s="12" t="str">
        <x:f>IF(COUNTA(O41:T41)=0,"",SUM(O41:T41))</x:f>
      </x:c>
      <x:c r="V41" s="12" t="str">
        <x:f>IF(U41="","",IF(U41&gt;=95,"Exceptionnel",IF(U41&gt;=90,"Excellent",IF(U41&gt;=85,"Très bon",IF(U41&gt;=80,"Bon",IF(U41&gt;=70,"Correct","À revoir"))))))</x:f>
      </x:c>
      <x:c r="W41" s="12"/>
      <x:c r="X41" s="12"/>
      <x:c r="Y41" s="12"/>
      <x:c r="Z41" s="12"/>
      <x:c r="AA41" s="12"/>
      <x:c r="AB41" s="12"/>
      <x:c r="AC41" s="12"/>
      <x:c r="AD41" s="12"/>
      <x:c r="AE41" s="38"/>
      <x:c r="AF41" s="40"/>
      <x:c r="AG41" s="12"/>
      <x:c r="AH41" s="12"/>
      <x:c r="A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 t="str">
        <x:f>IF(OR(H42="",J42=""),"", "https://www.amazon.fr/dp/"&amp;H42&amp;"?tag="&amp;J42)</x:f>
      </x:c>
      <x:c r="L42" s="12"/>
      <x:c r="M42" s="36"/>
      <x:c r="N42" s="12"/>
      <x:c r="O42" s="12"/>
      <x:c r="P42" s="12"/>
      <x:c r="Q42" s="12"/>
      <x:c r="R42" s="12"/>
      <x:c r="S42" s="12"/>
      <x:c r="T42" s="12"/>
      <x:c r="U42" s="12" t="str">
        <x:f>IF(COUNTA(O42:T42)=0,"",SUM(O42:T42))</x:f>
      </x:c>
      <x:c r="V42" s="12" t="str">
        <x:f>IF(U42="","",IF(U42&gt;=95,"Exceptionnel",IF(U42&gt;=90,"Excellent",IF(U42&gt;=85,"Très bon",IF(U42&gt;=80,"Bon",IF(U42&gt;=70,"Correct","À revoir"))))))</x:f>
      </x:c>
      <x:c r="W42" s="12"/>
      <x:c r="X42" s="12"/>
      <x:c r="Y42" s="12"/>
      <x:c r="Z42" s="12"/>
      <x:c r="AA42" s="12"/>
      <x:c r="AB42" s="12"/>
      <x:c r="AC42" s="12"/>
      <x:c r="AD42" s="12"/>
      <x:c r="AE42" s="38"/>
      <x:c r="AF42" s="40"/>
      <x:c r="AG42" s="12"/>
      <x:c r="AH42" s="12"/>
      <x:c r="A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 t="str">
        <x:f>IF(OR(H43="",J43=""),"", "https://www.amazon.fr/dp/"&amp;H43&amp;"?tag="&amp;J43)</x:f>
      </x:c>
      <x:c r="L43" s="12"/>
      <x:c r="M43" s="36"/>
      <x:c r="N43" s="12"/>
      <x:c r="O43" s="12"/>
      <x:c r="P43" s="12"/>
      <x:c r="Q43" s="12"/>
      <x:c r="R43" s="12"/>
      <x:c r="S43" s="12"/>
      <x:c r="T43" s="12"/>
      <x:c r="U43" s="12" t="str">
        <x:f>IF(COUNTA(O43:T43)=0,"",SUM(O43:T43))</x:f>
      </x:c>
      <x:c r="V43" s="12" t="str">
        <x:f>IF(U43="","",IF(U43&gt;=95,"Exceptionnel",IF(U43&gt;=90,"Excellent",IF(U43&gt;=85,"Très bon",IF(U43&gt;=80,"Bon",IF(U43&gt;=70,"Correct","À revoir"))))))</x:f>
      </x:c>
      <x:c r="W43" s="12"/>
      <x:c r="X43" s="12"/>
      <x:c r="Y43" s="12"/>
      <x:c r="Z43" s="12"/>
      <x:c r="AA43" s="12"/>
      <x:c r="AB43" s="12"/>
      <x:c r="AC43" s="12"/>
      <x:c r="AD43" s="12"/>
      <x:c r="AE43" s="38"/>
      <x:c r="AF43" s="40"/>
      <x:c r="AG43" s="12"/>
      <x:c r="AH43" s="12"/>
      <x:c r="A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 t="str">
        <x:f>IF(OR(H44="",J44=""),"", "https://www.amazon.fr/dp/"&amp;H44&amp;"?tag="&amp;J44)</x:f>
      </x:c>
      <x:c r="L44" s="12"/>
      <x:c r="M44" s="36"/>
      <x:c r="N44" s="12"/>
      <x:c r="O44" s="12"/>
      <x:c r="P44" s="12"/>
      <x:c r="Q44" s="12"/>
      <x:c r="R44" s="12"/>
      <x:c r="S44" s="12"/>
      <x:c r="T44" s="12"/>
      <x:c r="U44" s="12" t="str">
        <x:f>IF(COUNTA(O44:T44)=0,"",SUM(O44:T44))</x:f>
      </x:c>
      <x:c r="V44" s="12" t="str">
        <x:f>IF(U44="","",IF(U44&gt;=95,"Exceptionnel",IF(U44&gt;=90,"Excellent",IF(U44&gt;=85,"Très bon",IF(U44&gt;=80,"Bon",IF(U44&gt;=70,"Correct","À revoir"))))))</x:f>
      </x:c>
      <x:c r="W44" s="12"/>
      <x:c r="X44" s="12"/>
      <x:c r="Y44" s="12"/>
      <x:c r="Z44" s="12"/>
      <x:c r="AA44" s="12"/>
      <x:c r="AB44" s="12"/>
      <x:c r="AC44" s="12"/>
      <x:c r="AD44" s="12"/>
      <x:c r="AE44" s="38"/>
      <x:c r="AF44" s="40"/>
      <x:c r="AG44" s="12"/>
      <x:c r="AH44" s="12"/>
      <x:c r="A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 t="str">
        <x:f>IF(OR(H45="",J45=""),"", "https://www.amazon.fr/dp/"&amp;H45&amp;"?tag="&amp;J45)</x:f>
      </x:c>
      <x:c r="L45" s="12"/>
      <x:c r="M45" s="36"/>
      <x:c r="N45" s="12"/>
      <x:c r="O45" s="12"/>
      <x:c r="P45" s="12"/>
      <x:c r="Q45" s="12"/>
      <x:c r="R45" s="12"/>
      <x:c r="S45" s="12"/>
      <x:c r="T45" s="12"/>
      <x:c r="U45" s="12" t="str">
        <x:f>IF(COUNTA(O45:T45)=0,"",SUM(O45:T45))</x:f>
      </x:c>
      <x:c r="V45" s="12" t="str">
        <x:f>IF(U45="","",IF(U45&gt;=95,"Exceptionnel",IF(U45&gt;=90,"Excellent",IF(U45&gt;=85,"Très bon",IF(U45&gt;=80,"Bon",IF(U45&gt;=70,"Correct","À revoir"))))))</x:f>
      </x:c>
      <x:c r="W45" s="12"/>
      <x:c r="X45" s="12"/>
      <x:c r="Y45" s="12"/>
      <x:c r="Z45" s="12"/>
      <x:c r="AA45" s="12"/>
      <x:c r="AB45" s="12"/>
      <x:c r="AC45" s="12"/>
      <x:c r="AD45" s="12"/>
      <x:c r="AE45" s="38"/>
      <x:c r="AF45" s="40"/>
      <x:c r="AG45" s="12"/>
      <x:c r="AH45" s="12"/>
      <x:c r="A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 t="str">
        <x:f>IF(OR(H46="",J46=""),"", "https://www.amazon.fr/dp/"&amp;H46&amp;"?tag="&amp;J46)</x:f>
      </x:c>
      <x:c r="L46" s="12"/>
      <x:c r="M46" s="36"/>
      <x:c r="N46" s="12"/>
      <x:c r="O46" s="12"/>
      <x:c r="P46" s="12"/>
      <x:c r="Q46" s="12"/>
      <x:c r="R46" s="12"/>
      <x:c r="S46" s="12"/>
      <x:c r="T46" s="12"/>
      <x:c r="U46" s="12" t="str">
        <x:f>IF(COUNTA(O46:T46)=0,"",SUM(O46:T46))</x:f>
      </x:c>
      <x:c r="V46" s="12" t="str">
        <x:f>IF(U46="","",IF(U46&gt;=95,"Exceptionnel",IF(U46&gt;=90,"Excellent",IF(U46&gt;=85,"Très bon",IF(U46&gt;=80,"Bon",IF(U46&gt;=70,"Correct","À revoir"))))))</x:f>
      </x:c>
      <x:c r="W46" s="12"/>
      <x:c r="X46" s="12"/>
      <x:c r="Y46" s="12"/>
      <x:c r="Z46" s="12"/>
      <x:c r="AA46" s="12"/>
      <x:c r="AB46" s="12"/>
      <x:c r="AC46" s="12"/>
      <x:c r="AD46" s="12"/>
      <x:c r="AE46" s="38"/>
      <x:c r="AF46" s="40"/>
      <x:c r="AG46" s="12"/>
      <x:c r="AH46" s="12"/>
      <x:c r="A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 t="str">
        <x:f>IF(OR(H47="",J47=""),"", "https://www.amazon.fr/dp/"&amp;H47&amp;"?tag="&amp;J47)</x:f>
      </x:c>
      <x:c r="L47" s="12"/>
      <x:c r="M47" s="36"/>
      <x:c r="N47" s="12"/>
      <x:c r="O47" s="12"/>
      <x:c r="P47" s="12"/>
      <x:c r="Q47" s="12"/>
      <x:c r="R47" s="12"/>
      <x:c r="S47" s="12"/>
      <x:c r="T47" s="12"/>
      <x:c r="U47" s="12" t="str">
        <x:f>IF(COUNTA(O47:T47)=0,"",SUM(O47:T47))</x:f>
      </x:c>
      <x:c r="V47" s="12" t="str">
        <x:f>IF(U47="","",IF(U47&gt;=95,"Exceptionnel",IF(U47&gt;=90,"Excellent",IF(U47&gt;=85,"Très bon",IF(U47&gt;=80,"Bon",IF(U47&gt;=70,"Correct","À revoir"))))))</x:f>
      </x:c>
      <x:c r="W47" s="12"/>
      <x:c r="X47" s="12"/>
      <x:c r="Y47" s="12"/>
      <x:c r="Z47" s="12"/>
      <x:c r="AA47" s="12"/>
      <x:c r="AB47" s="12"/>
      <x:c r="AC47" s="12"/>
      <x:c r="AD47" s="12"/>
      <x:c r="AE47" s="38"/>
      <x:c r="AF47" s="40"/>
      <x:c r="AG47" s="12"/>
      <x:c r="AH47" s="12"/>
      <x:c r="A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 t="str">
        <x:f>IF(OR(H48="",J48=""),"", "https://www.amazon.fr/dp/"&amp;H48&amp;"?tag="&amp;J48)</x:f>
      </x:c>
      <x:c r="L48" s="12"/>
      <x:c r="M48" s="36"/>
      <x:c r="N48" s="12"/>
      <x:c r="O48" s="12"/>
      <x:c r="P48" s="12"/>
      <x:c r="Q48" s="12"/>
      <x:c r="R48" s="12"/>
      <x:c r="S48" s="12"/>
      <x:c r="T48" s="12"/>
      <x:c r="U48" s="12" t="str">
        <x:f>IF(COUNTA(O48:T48)=0,"",SUM(O48:T48))</x:f>
      </x:c>
      <x:c r="V48" s="12" t="str">
        <x:f>IF(U48="","",IF(U48&gt;=95,"Exceptionnel",IF(U48&gt;=90,"Excellent",IF(U48&gt;=85,"Très bon",IF(U48&gt;=80,"Bon",IF(U48&gt;=70,"Correct","À revoir"))))))</x:f>
      </x:c>
      <x:c r="W48" s="12"/>
      <x:c r="X48" s="12"/>
      <x:c r="Y48" s="12"/>
      <x:c r="Z48" s="12"/>
      <x:c r="AA48" s="12"/>
      <x:c r="AB48" s="12"/>
      <x:c r="AC48" s="12"/>
      <x:c r="AD48" s="12"/>
      <x:c r="AE48" s="38"/>
      <x:c r="AF48" s="40"/>
      <x:c r="AG48" s="12"/>
      <x:c r="AH48" s="12"/>
      <x:c r="A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 t="str">
        <x:f>IF(OR(H49="",J49=""),"", "https://www.amazon.fr/dp/"&amp;H49&amp;"?tag="&amp;J49)</x:f>
      </x:c>
      <x:c r="L49" s="12"/>
      <x:c r="M49" s="36"/>
      <x:c r="N49" s="12"/>
      <x:c r="O49" s="12"/>
      <x:c r="P49" s="12"/>
      <x:c r="Q49" s="12"/>
      <x:c r="R49" s="12"/>
      <x:c r="S49" s="12"/>
      <x:c r="T49" s="12"/>
      <x:c r="U49" s="12" t="str">
        <x:f>IF(COUNTA(O49:T49)=0,"",SUM(O49:T49))</x:f>
      </x:c>
      <x:c r="V49" s="12" t="str">
        <x:f>IF(U49="","",IF(U49&gt;=95,"Exceptionnel",IF(U49&gt;=90,"Excellent",IF(U49&gt;=85,"Très bon",IF(U49&gt;=80,"Bon",IF(U49&gt;=70,"Correct","À revoir"))))))</x:f>
      </x:c>
      <x:c r="W49" s="12"/>
      <x:c r="X49" s="12"/>
      <x:c r="Y49" s="12"/>
      <x:c r="Z49" s="12"/>
      <x:c r="AA49" s="12"/>
      <x:c r="AB49" s="12"/>
      <x:c r="AC49" s="12"/>
      <x:c r="AD49" s="12"/>
      <x:c r="AE49" s="38"/>
      <x:c r="AF49" s="40"/>
      <x:c r="AG49" s="12"/>
      <x:c r="AH49" s="12"/>
      <x:c r="A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 t="str">
        <x:f>IF(OR(H50="",J50=""),"", "https://www.amazon.fr/dp/"&amp;H50&amp;"?tag="&amp;J50)</x:f>
      </x:c>
      <x:c r="L50" s="12"/>
      <x:c r="M50" s="36"/>
      <x:c r="N50" s="12"/>
      <x:c r="O50" s="12"/>
      <x:c r="P50" s="12"/>
      <x:c r="Q50" s="12"/>
      <x:c r="R50" s="12"/>
      <x:c r="S50" s="12"/>
      <x:c r="T50" s="12"/>
      <x:c r="U50" s="12" t="str">
        <x:f>IF(COUNTA(O50:T50)=0,"",SUM(O50:T50))</x:f>
      </x:c>
      <x:c r="V50" s="12" t="str">
        <x:f>IF(U50="","",IF(U50&gt;=95,"Exceptionnel",IF(U50&gt;=90,"Excellent",IF(U50&gt;=85,"Très bon",IF(U50&gt;=80,"Bon",IF(U50&gt;=70,"Correct","À revoir"))))))</x:f>
      </x:c>
      <x:c r="W50" s="12"/>
      <x:c r="X50" s="12"/>
      <x:c r="Y50" s="12"/>
      <x:c r="Z50" s="12"/>
      <x:c r="AA50" s="12"/>
      <x:c r="AB50" s="12"/>
      <x:c r="AC50" s="12"/>
      <x:c r="AD50" s="12"/>
      <x:c r="AE50" s="38"/>
      <x:c r="AF50" s="40"/>
      <x:c r="AG50" s="12"/>
      <x:c r="AH50" s="12"/>
      <x:c r="A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 t="str">
        <x:f>IF(OR(H51="",J51=""),"", "https://www.amazon.fr/dp/"&amp;H51&amp;"?tag="&amp;J51)</x:f>
      </x:c>
      <x:c r="L51" s="12"/>
      <x:c r="M51" s="36"/>
      <x:c r="N51" s="12"/>
      <x:c r="O51" s="12"/>
      <x:c r="P51" s="12"/>
      <x:c r="Q51" s="12"/>
      <x:c r="R51" s="12"/>
      <x:c r="S51" s="12"/>
      <x:c r="T51" s="12"/>
      <x:c r="U51" s="12" t="str">
        <x:f>IF(COUNTA(O51:T51)=0,"",SUM(O51:T51))</x:f>
      </x:c>
      <x:c r="V51" s="12" t="str">
        <x:f>IF(U51="","",IF(U51&gt;=95,"Exceptionnel",IF(U51&gt;=90,"Excellent",IF(U51&gt;=85,"Très bon",IF(U51&gt;=80,"Bon",IF(U51&gt;=70,"Correct","À revoir"))))))</x:f>
      </x:c>
      <x:c r="W51" s="12"/>
      <x:c r="X51" s="12"/>
      <x:c r="Y51" s="12"/>
      <x:c r="Z51" s="12"/>
      <x:c r="AA51" s="12"/>
      <x:c r="AB51" s="12"/>
      <x:c r="AC51" s="12"/>
      <x:c r="AD51" s="12"/>
      <x:c r="AE51" s="38"/>
      <x:c r="AF51" s="40"/>
      <x:c r="AG51" s="12"/>
      <x:c r="AH51" s="12"/>
      <x:c r="A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 t="str">
        <x:f>IF(OR(H52="",J52=""),"", "https://www.amazon.fr/dp/"&amp;H52&amp;"?tag="&amp;J52)</x:f>
      </x:c>
      <x:c r="L52" s="12"/>
      <x:c r="M52" s="36"/>
      <x:c r="N52" s="12"/>
      <x:c r="O52" s="12"/>
      <x:c r="P52" s="12"/>
      <x:c r="Q52" s="12"/>
      <x:c r="R52" s="12"/>
      <x:c r="S52" s="12"/>
      <x:c r="T52" s="12"/>
      <x:c r="U52" s="12" t="str">
        <x:f>IF(COUNTA(O52:T52)=0,"",SUM(O52:T52))</x:f>
      </x:c>
      <x:c r="V52" s="12" t="str">
        <x:f>IF(U52="","",IF(U52&gt;=95,"Exceptionnel",IF(U52&gt;=90,"Excellent",IF(U52&gt;=85,"Très bon",IF(U52&gt;=80,"Bon",IF(U52&gt;=70,"Correct","À revoir"))))))</x:f>
      </x:c>
      <x:c r="W52" s="12"/>
      <x:c r="X52" s="12"/>
      <x:c r="Y52" s="12"/>
      <x:c r="Z52" s="12"/>
      <x:c r="AA52" s="12"/>
      <x:c r="AB52" s="12"/>
      <x:c r="AC52" s="12"/>
      <x:c r="AD52" s="12"/>
      <x:c r="AE52" s="38"/>
      <x:c r="AF52" s="40"/>
      <x:c r="AG52" s="12"/>
      <x:c r="AH52" s="12"/>
      <x:c r="A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 t="str">
        <x:f>IF(OR(H53="",J53=""),"", "https://www.amazon.fr/dp/"&amp;H53&amp;"?tag="&amp;J53)</x:f>
      </x:c>
      <x:c r="L53" s="12"/>
      <x:c r="M53" s="36"/>
      <x:c r="N53" s="12"/>
      <x:c r="O53" s="12"/>
      <x:c r="P53" s="12"/>
      <x:c r="Q53" s="12"/>
      <x:c r="R53" s="12"/>
      <x:c r="S53" s="12"/>
      <x:c r="T53" s="12"/>
      <x:c r="U53" s="12" t="str">
        <x:f>IF(COUNTA(O53:T53)=0,"",SUM(O53:T53))</x:f>
      </x:c>
      <x:c r="V53" s="12" t="str">
        <x:f>IF(U53="","",IF(U53&gt;=95,"Exceptionnel",IF(U53&gt;=90,"Excellent",IF(U53&gt;=85,"Très bon",IF(U53&gt;=80,"Bon",IF(U53&gt;=70,"Correct","À revoir"))))))</x:f>
      </x:c>
      <x:c r="W53" s="12"/>
      <x:c r="X53" s="12"/>
      <x:c r="Y53" s="12"/>
      <x:c r="Z53" s="12"/>
      <x:c r="AA53" s="12"/>
      <x:c r="AB53" s="12"/>
      <x:c r="AC53" s="12"/>
      <x:c r="AD53" s="12"/>
      <x:c r="AE53" s="38"/>
      <x:c r="AF53" s="40"/>
      <x:c r="AG53" s="12"/>
      <x:c r="AH53" s="12"/>
      <x:c r="A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 t="str">
        <x:f>IF(OR(H54="",J54=""),"", "https://www.amazon.fr/dp/"&amp;H54&amp;"?tag="&amp;J54)</x:f>
      </x:c>
      <x:c r="L54" s="12"/>
      <x:c r="M54" s="36"/>
      <x:c r="N54" s="12"/>
      <x:c r="O54" s="12"/>
      <x:c r="P54" s="12"/>
      <x:c r="Q54" s="12"/>
      <x:c r="R54" s="12"/>
      <x:c r="S54" s="12"/>
      <x:c r="T54" s="12"/>
      <x:c r="U54" s="12" t="str">
        <x:f>IF(COUNTA(O54:T54)=0,"",SUM(O54:T54))</x:f>
      </x:c>
      <x:c r="V54" s="12" t="str">
        <x:f>IF(U54="","",IF(U54&gt;=95,"Exceptionnel",IF(U54&gt;=90,"Excellent",IF(U54&gt;=85,"Très bon",IF(U54&gt;=80,"Bon",IF(U54&gt;=70,"Correct","À revoir"))))))</x:f>
      </x:c>
      <x:c r="W54" s="12"/>
      <x:c r="X54" s="12"/>
      <x:c r="Y54" s="12"/>
      <x:c r="Z54" s="12"/>
      <x:c r="AA54" s="12"/>
      <x:c r="AB54" s="12"/>
      <x:c r="AC54" s="12"/>
      <x:c r="AD54" s="12"/>
      <x:c r="AE54" s="38"/>
      <x:c r="AF54" s="40"/>
      <x:c r="AG54" s="12"/>
      <x:c r="AH54" s="12"/>
      <x:c r="A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 t="str">
        <x:f>IF(OR(H55="",J55=""),"", "https://www.amazon.fr/dp/"&amp;H55&amp;"?tag="&amp;J55)</x:f>
      </x:c>
      <x:c r="L55" s="12"/>
      <x:c r="M55" s="36"/>
      <x:c r="N55" s="12"/>
      <x:c r="O55" s="12"/>
      <x:c r="P55" s="12"/>
      <x:c r="Q55" s="12"/>
      <x:c r="R55" s="12"/>
      <x:c r="S55" s="12"/>
      <x:c r="T55" s="12"/>
      <x:c r="U55" s="12" t="str">
        <x:f>IF(COUNTA(O55:T55)=0,"",SUM(O55:T55))</x:f>
      </x:c>
      <x:c r="V55" s="12" t="str">
        <x:f>IF(U55="","",IF(U55&gt;=95,"Exceptionnel",IF(U55&gt;=90,"Excellent",IF(U55&gt;=85,"Très bon",IF(U55&gt;=80,"Bon",IF(U55&gt;=70,"Correct","À revoir"))))))</x:f>
      </x:c>
      <x:c r="W55" s="12"/>
      <x:c r="X55" s="12"/>
      <x:c r="Y55" s="12"/>
      <x:c r="Z55" s="12"/>
      <x:c r="AA55" s="12"/>
      <x:c r="AB55" s="12"/>
      <x:c r="AC55" s="12"/>
      <x:c r="AD55" s="12"/>
      <x:c r="AE55" s="38"/>
      <x:c r="AF55" s="40"/>
      <x:c r="AG55" s="12"/>
      <x:c r="AH55" s="12"/>
      <x:c r="A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 t="str">
        <x:f>IF(OR(H56="",J56=""),"", "https://www.amazon.fr/dp/"&amp;H56&amp;"?tag="&amp;J56)</x:f>
      </x:c>
      <x:c r="L56" s="12"/>
      <x:c r="M56" s="36"/>
      <x:c r="N56" s="12"/>
      <x:c r="O56" s="12"/>
      <x:c r="P56" s="12"/>
      <x:c r="Q56" s="12"/>
      <x:c r="R56" s="12"/>
      <x:c r="S56" s="12"/>
      <x:c r="T56" s="12"/>
      <x:c r="U56" s="12" t="str">
        <x:f>IF(COUNTA(O56:T56)=0,"",SUM(O56:T56))</x:f>
      </x:c>
      <x:c r="V56" s="12" t="str">
        <x:f>IF(U56="","",IF(U56&gt;=95,"Exceptionnel",IF(U56&gt;=90,"Excellent",IF(U56&gt;=85,"Très bon",IF(U56&gt;=80,"Bon",IF(U56&gt;=70,"Correct","À revoir"))))))</x:f>
      </x:c>
      <x:c r="W56" s="12"/>
      <x:c r="X56" s="12"/>
      <x:c r="Y56" s="12"/>
      <x:c r="Z56" s="12"/>
      <x:c r="AA56" s="12"/>
      <x:c r="AB56" s="12"/>
      <x:c r="AC56" s="12"/>
      <x:c r="AD56" s="12"/>
      <x:c r="AE56" s="38"/>
      <x:c r="AF56" s="40"/>
      <x:c r="AG56" s="12"/>
      <x:c r="AH56" s="12"/>
      <x:c r="A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 t="str">
        <x:f>IF(OR(H57="",J57=""),"", "https://www.amazon.fr/dp/"&amp;H57&amp;"?tag="&amp;J57)</x:f>
      </x:c>
      <x:c r="L57" s="12"/>
      <x:c r="M57" s="36"/>
      <x:c r="N57" s="12"/>
      <x:c r="O57" s="12"/>
      <x:c r="P57" s="12"/>
      <x:c r="Q57" s="12"/>
      <x:c r="R57" s="12"/>
      <x:c r="S57" s="12"/>
      <x:c r="T57" s="12"/>
      <x:c r="U57" s="12" t="str">
        <x:f>IF(COUNTA(O57:T57)=0,"",SUM(O57:T57))</x:f>
      </x:c>
      <x:c r="V57" s="12" t="str">
        <x:f>IF(U57="","",IF(U57&gt;=95,"Exceptionnel",IF(U57&gt;=90,"Excellent",IF(U57&gt;=85,"Très bon",IF(U57&gt;=80,"Bon",IF(U57&gt;=70,"Correct","À revoir"))))))</x:f>
      </x:c>
      <x:c r="W57" s="12"/>
      <x:c r="X57" s="12"/>
      <x:c r="Y57" s="12"/>
      <x:c r="Z57" s="12"/>
      <x:c r="AA57" s="12"/>
      <x:c r="AB57" s="12"/>
      <x:c r="AC57" s="12"/>
      <x:c r="AD57" s="12"/>
      <x:c r="AE57" s="38"/>
      <x:c r="AF57" s="40"/>
      <x:c r="AG57" s="12"/>
      <x:c r="AH57" s="12"/>
      <x:c r="A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 t="str">
        <x:f>IF(OR(H58="",J58=""),"", "https://www.amazon.fr/dp/"&amp;H58&amp;"?tag="&amp;J58)</x:f>
      </x:c>
      <x:c r="L58" s="12"/>
      <x:c r="M58" s="36"/>
      <x:c r="N58" s="12"/>
      <x:c r="O58" s="12"/>
      <x:c r="P58" s="12"/>
      <x:c r="Q58" s="12"/>
      <x:c r="R58" s="12"/>
      <x:c r="S58" s="12"/>
      <x:c r="T58" s="12"/>
      <x:c r="U58" s="12" t="str">
        <x:f>IF(COUNTA(O58:T58)=0,"",SUM(O58:T58))</x:f>
      </x:c>
      <x:c r="V58" s="12" t="str">
        <x:f>IF(U58="","",IF(U58&gt;=95,"Exceptionnel",IF(U58&gt;=90,"Excellent",IF(U58&gt;=85,"Très bon",IF(U58&gt;=80,"Bon",IF(U58&gt;=70,"Correct","À revoir"))))))</x:f>
      </x:c>
      <x:c r="W58" s="12"/>
      <x:c r="X58" s="12"/>
      <x:c r="Y58" s="12"/>
      <x:c r="Z58" s="12"/>
      <x:c r="AA58" s="12"/>
      <x:c r="AB58" s="12"/>
      <x:c r="AC58" s="12"/>
      <x:c r="AD58" s="12"/>
      <x:c r="AE58" s="38"/>
      <x:c r="AF58" s="40"/>
      <x:c r="AG58" s="12"/>
      <x:c r="AH58" s="12"/>
      <x:c r="A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 t="str">
        <x:f>IF(OR(H59="",J59=""),"", "https://www.amazon.fr/dp/"&amp;H59&amp;"?tag="&amp;J59)</x:f>
      </x:c>
      <x:c r="L59" s="12"/>
      <x:c r="M59" s="36"/>
      <x:c r="N59" s="12"/>
      <x:c r="O59" s="12"/>
      <x:c r="P59" s="12"/>
      <x:c r="Q59" s="12"/>
      <x:c r="R59" s="12"/>
      <x:c r="S59" s="12"/>
      <x:c r="T59" s="12"/>
      <x:c r="U59" s="12" t="str">
        <x:f>IF(COUNTA(O59:T59)=0,"",SUM(O59:T59))</x:f>
      </x:c>
      <x:c r="V59" s="12" t="str">
        <x:f>IF(U59="","",IF(U59&gt;=95,"Exceptionnel",IF(U59&gt;=90,"Excellent",IF(U59&gt;=85,"Très bon",IF(U59&gt;=80,"Bon",IF(U59&gt;=70,"Correct","À revoir"))))))</x:f>
      </x:c>
      <x:c r="W59" s="12"/>
      <x:c r="X59" s="12"/>
      <x:c r="Y59" s="12"/>
      <x:c r="Z59" s="12"/>
      <x:c r="AA59" s="12"/>
      <x:c r="AB59" s="12"/>
      <x:c r="AC59" s="12"/>
      <x:c r="AD59" s="12"/>
      <x:c r="AE59" s="38"/>
      <x:c r="AF59" s="40"/>
      <x:c r="AG59" s="12"/>
      <x:c r="AH59" s="12"/>
      <x:c r="A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 t="str">
        <x:f>IF(OR(H60="",J60=""),"", "https://www.amazon.fr/dp/"&amp;H60&amp;"?tag="&amp;J60)</x:f>
      </x:c>
      <x:c r="L60" s="12"/>
      <x:c r="M60" s="36"/>
      <x:c r="N60" s="12"/>
      <x:c r="O60" s="12"/>
      <x:c r="P60" s="12"/>
      <x:c r="Q60" s="12"/>
      <x:c r="R60" s="12"/>
      <x:c r="S60" s="12"/>
      <x:c r="T60" s="12"/>
      <x:c r="U60" s="12" t="str">
        <x:f>IF(COUNTA(O60:T60)=0,"",SUM(O60:T60))</x:f>
      </x:c>
      <x:c r="V60" s="12" t="str">
        <x:f>IF(U60="","",IF(U60&gt;=95,"Exceptionnel",IF(U60&gt;=90,"Excellent",IF(U60&gt;=85,"Très bon",IF(U60&gt;=80,"Bon",IF(U60&gt;=70,"Correct","À revoir"))))))</x:f>
      </x:c>
      <x:c r="W60" s="12"/>
      <x:c r="X60" s="12"/>
      <x:c r="Y60" s="12"/>
      <x:c r="Z60" s="12"/>
      <x:c r="AA60" s="12"/>
      <x:c r="AB60" s="12"/>
      <x:c r="AC60" s="12"/>
      <x:c r="AD60" s="12"/>
      <x:c r="AE60" s="38"/>
      <x:c r="AF60" s="40"/>
      <x:c r="AG60" s="12"/>
      <x:c r="AH60" s="12"/>
      <x:c r="AI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 t="str">
        <x:f>IF(OR(H61="",J61=""),"", "https://www.amazon.fr/dp/"&amp;H61&amp;"?tag="&amp;J61)</x:f>
      </x:c>
      <x:c r="L61" s="12"/>
      <x:c r="M61" s="36"/>
      <x:c r="N61" s="12"/>
      <x:c r="O61" s="12"/>
      <x:c r="P61" s="12"/>
      <x:c r="Q61" s="12"/>
      <x:c r="R61" s="12"/>
      <x:c r="S61" s="12"/>
      <x:c r="T61" s="12"/>
      <x:c r="U61" s="12" t="str">
        <x:f>IF(COUNTA(O61:T61)=0,"",SUM(O61:T61))</x:f>
      </x:c>
      <x:c r="V61" s="12" t="str">
        <x:f>IF(U61="","",IF(U61&gt;=95,"Exceptionnel",IF(U61&gt;=90,"Excellent",IF(U61&gt;=85,"Très bon",IF(U61&gt;=80,"Bon",IF(U61&gt;=70,"Correct","À revoir"))))))</x:f>
      </x:c>
      <x:c r="W61" s="12"/>
      <x:c r="X61" s="12"/>
      <x:c r="Y61" s="12"/>
      <x:c r="Z61" s="12"/>
      <x:c r="AA61" s="12"/>
      <x:c r="AB61" s="12"/>
      <x:c r="AC61" s="12"/>
      <x:c r="AD61" s="12"/>
      <x:c r="AE61" s="38"/>
      <x:c r="AF61" s="40"/>
      <x:c r="AG61" s="12"/>
      <x:c r="AH61" s="12"/>
      <x:c r="AI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 t="str">
        <x:f>IF(OR(H62="",J62=""),"", "https://www.amazon.fr/dp/"&amp;H62&amp;"?tag="&amp;J62)</x:f>
      </x:c>
      <x:c r="L62" s="12"/>
      <x:c r="M62" s="36"/>
      <x:c r="N62" s="12"/>
      <x:c r="O62" s="12"/>
      <x:c r="P62" s="12"/>
      <x:c r="Q62" s="12"/>
      <x:c r="R62" s="12"/>
      <x:c r="S62" s="12"/>
      <x:c r="T62" s="12"/>
      <x:c r="U62" s="12" t="str">
        <x:f>IF(COUNTA(O62:T62)=0,"",SUM(O62:T62))</x:f>
      </x:c>
      <x:c r="V62" s="12" t="str">
        <x:f>IF(U62="","",IF(U62&gt;=95,"Exceptionnel",IF(U62&gt;=90,"Excellent",IF(U62&gt;=85,"Très bon",IF(U62&gt;=80,"Bon",IF(U62&gt;=70,"Correct","À revoir"))))))</x:f>
      </x:c>
      <x:c r="W62" s="12"/>
      <x:c r="X62" s="12"/>
      <x:c r="Y62" s="12"/>
      <x:c r="Z62" s="12"/>
      <x:c r="AA62" s="12"/>
      <x:c r="AB62" s="12"/>
      <x:c r="AC62" s="12"/>
      <x:c r="AD62" s="12"/>
      <x:c r="AE62" s="38"/>
      <x:c r="AF62" s="40"/>
      <x:c r="AG62" s="12"/>
      <x:c r="AH62" s="12"/>
      <x:c r="AI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 t="str">
        <x:f>IF(OR(H63="",J63=""),"", "https://www.amazon.fr/dp/"&amp;H63&amp;"?tag="&amp;J63)</x:f>
      </x:c>
      <x:c r="L63" s="12"/>
      <x:c r="M63" s="36"/>
      <x:c r="N63" s="12"/>
      <x:c r="O63" s="12"/>
      <x:c r="P63" s="12"/>
      <x:c r="Q63" s="12"/>
      <x:c r="R63" s="12"/>
      <x:c r="S63" s="12"/>
      <x:c r="T63" s="12"/>
      <x:c r="U63" s="12" t="str">
        <x:f>IF(COUNTA(O63:T63)=0,"",SUM(O63:T63))</x:f>
      </x:c>
      <x:c r="V63" s="12" t="str">
        <x:f>IF(U63="","",IF(U63&gt;=95,"Exceptionnel",IF(U63&gt;=90,"Excellent",IF(U63&gt;=85,"Très bon",IF(U63&gt;=80,"Bon",IF(U63&gt;=70,"Correct","À revoir"))))))</x:f>
      </x:c>
      <x:c r="W63" s="12"/>
      <x:c r="X63" s="12"/>
      <x:c r="Y63" s="12"/>
      <x:c r="Z63" s="12"/>
      <x:c r="AA63" s="12"/>
      <x:c r="AB63" s="12"/>
      <x:c r="AC63" s="12"/>
      <x:c r="AD63" s="12"/>
      <x:c r="AE63" s="38"/>
      <x:c r="AF63" s="40"/>
      <x:c r="AG63" s="12"/>
      <x:c r="AH63" s="12"/>
      <x:c r="AI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 t="str">
        <x:f>IF(OR(H64="",J64=""),"", "https://www.amazon.fr/dp/"&amp;H64&amp;"?tag="&amp;J64)</x:f>
      </x:c>
      <x:c r="L64" s="12"/>
      <x:c r="M64" s="36"/>
      <x:c r="N64" s="12"/>
      <x:c r="O64" s="12"/>
      <x:c r="P64" s="12"/>
      <x:c r="Q64" s="12"/>
      <x:c r="R64" s="12"/>
      <x:c r="S64" s="12"/>
      <x:c r="T64" s="12"/>
      <x:c r="U64" s="12" t="str">
        <x:f>IF(COUNTA(O64:T64)=0,"",SUM(O64:T64))</x:f>
      </x:c>
      <x:c r="V64" s="12" t="str">
        <x:f>IF(U64="","",IF(U64&gt;=95,"Exceptionnel",IF(U64&gt;=90,"Excellent",IF(U64&gt;=85,"Très bon",IF(U64&gt;=80,"Bon",IF(U64&gt;=70,"Correct","À revoir"))))))</x:f>
      </x:c>
      <x:c r="W64" s="12"/>
      <x:c r="X64" s="12"/>
      <x:c r="Y64" s="12"/>
      <x:c r="Z64" s="12"/>
      <x:c r="AA64" s="12"/>
      <x:c r="AB64" s="12"/>
      <x:c r="AC64" s="12"/>
      <x:c r="AD64" s="12"/>
      <x:c r="AE64" s="38"/>
      <x:c r="AF64" s="40"/>
      <x:c r="AG64" s="12"/>
      <x:c r="AH64" s="12"/>
      <x:c r="AI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 t="str">
        <x:f>IF(OR(H65="",J65=""),"", "https://www.amazon.fr/dp/"&amp;H65&amp;"?tag="&amp;J65)</x:f>
      </x:c>
      <x:c r="L65" s="12"/>
      <x:c r="M65" s="36"/>
      <x:c r="N65" s="12"/>
      <x:c r="O65" s="12"/>
      <x:c r="P65" s="12"/>
      <x:c r="Q65" s="12"/>
      <x:c r="R65" s="12"/>
      <x:c r="S65" s="12"/>
      <x:c r="T65" s="12"/>
      <x:c r="U65" s="12" t="str">
        <x:f>IF(COUNTA(O65:T65)=0,"",SUM(O65:T65))</x:f>
      </x:c>
      <x:c r="V65" s="12" t="str">
        <x:f>IF(U65="","",IF(U65&gt;=95,"Exceptionnel",IF(U65&gt;=90,"Excellent",IF(U65&gt;=85,"Très bon",IF(U65&gt;=80,"Bon",IF(U65&gt;=70,"Correct","À revoir"))))))</x:f>
      </x:c>
      <x:c r="W65" s="12"/>
      <x:c r="X65" s="12"/>
      <x:c r="Y65" s="12"/>
      <x:c r="Z65" s="12"/>
      <x:c r="AA65" s="12"/>
      <x:c r="AB65" s="12"/>
      <x:c r="AC65" s="12"/>
      <x:c r="AD65" s="12"/>
      <x:c r="AE65" s="38"/>
      <x:c r="AF65" s="40"/>
      <x:c r="AG65" s="12"/>
      <x:c r="AH65" s="12"/>
      <x:c r="AI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 t="str">
        <x:f>IF(OR(H66="",J66=""),"", "https://www.amazon.fr/dp/"&amp;H66&amp;"?tag="&amp;J66)</x:f>
      </x:c>
      <x:c r="L66" s="12"/>
      <x:c r="M66" s="36"/>
      <x:c r="N66" s="12"/>
      <x:c r="O66" s="12"/>
      <x:c r="P66" s="12"/>
      <x:c r="Q66" s="12"/>
      <x:c r="R66" s="12"/>
      <x:c r="S66" s="12"/>
      <x:c r="T66" s="12"/>
      <x:c r="U66" s="12" t="str">
        <x:f>IF(COUNTA(O66:T66)=0,"",SUM(O66:T66))</x:f>
      </x:c>
      <x:c r="V66" s="12" t="str">
        <x:f>IF(U66="","",IF(U66&gt;=95,"Exceptionnel",IF(U66&gt;=90,"Excellent",IF(U66&gt;=85,"Très bon",IF(U66&gt;=80,"Bon",IF(U66&gt;=70,"Correct","À revoir"))))))</x:f>
      </x:c>
      <x:c r="W66" s="12"/>
      <x:c r="X66" s="12"/>
      <x:c r="Y66" s="12"/>
      <x:c r="Z66" s="12"/>
      <x:c r="AA66" s="12"/>
      <x:c r="AB66" s="12"/>
      <x:c r="AC66" s="12"/>
      <x:c r="AD66" s="12"/>
      <x:c r="AE66" s="38"/>
      <x:c r="AF66" s="40"/>
      <x:c r="AG66" s="12"/>
      <x:c r="AH66" s="12"/>
      <x:c r="AI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 t="str">
        <x:f>IF(OR(H67="",J67=""),"", "https://www.amazon.fr/dp/"&amp;H67&amp;"?tag="&amp;J67)</x:f>
      </x:c>
      <x:c r="L67" s="12"/>
      <x:c r="M67" s="36"/>
      <x:c r="N67" s="12"/>
      <x:c r="O67" s="12"/>
      <x:c r="P67" s="12"/>
      <x:c r="Q67" s="12"/>
      <x:c r="R67" s="12"/>
      <x:c r="S67" s="12"/>
      <x:c r="T67" s="12"/>
      <x:c r="U67" s="12" t="str">
        <x:f>IF(COUNTA(O67:T67)=0,"",SUM(O67:T67))</x:f>
      </x:c>
      <x:c r="V67" s="12" t="str">
        <x:f>IF(U67="","",IF(U67&gt;=95,"Exceptionnel",IF(U67&gt;=90,"Excellent",IF(U67&gt;=85,"Très bon",IF(U67&gt;=80,"Bon",IF(U67&gt;=70,"Correct","À revoir"))))))</x:f>
      </x:c>
      <x:c r="W67" s="12"/>
      <x:c r="X67" s="12"/>
      <x:c r="Y67" s="12"/>
      <x:c r="Z67" s="12"/>
      <x:c r="AA67" s="12"/>
      <x:c r="AB67" s="12"/>
      <x:c r="AC67" s="12"/>
      <x:c r="AD67" s="12"/>
      <x:c r="AE67" s="38"/>
      <x:c r="AF67" s="40"/>
      <x:c r="AG67" s="12"/>
      <x:c r="AH67" s="12"/>
      <x:c r="AI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 t="str">
        <x:f>IF(OR(H68="",J68=""),"", "https://www.amazon.fr/dp/"&amp;H68&amp;"?tag="&amp;J68)</x:f>
      </x:c>
      <x:c r="L68" s="12"/>
      <x:c r="M68" s="36"/>
      <x:c r="N68" s="12"/>
      <x:c r="O68" s="12"/>
      <x:c r="P68" s="12"/>
      <x:c r="Q68" s="12"/>
      <x:c r="R68" s="12"/>
      <x:c r="S68" s="12"/>
      <x:c r="T68" s="12"/>
      <x:c r="U68" s="12" t="str">
        <x:f>IF(COUNTA(O68:T68)=0,"",SUM(O68:T68))</x:f>
      </x:c>
      <x:c r="V68" s="12" t="str">
        <x:f>IF(U68="","",IF(U68&gt;=95,"Exceptionnel",IF(U68&gt;=90,"Excellent",IF(U68&gt;=85,"Très bon",IF(U68&gt;=80,"Bon",IF(U68&gt;=70,"Correct","À revoir"))))))</x:f>
      </x:c>
      <x:c r="W68" s="12"/>
      <x:c r="X68" s="12"/>
      <x:c r="Y68" s="12"/>
      <x:c r="Z68" s="12"/>
      <x:c r="AA68" s="12"/>
      <x:c r="AB68" s="12"/>
      <x:c r="AC68" s="12"/>
      <x:c r="AD68" s="12"/>
      <x:c r="AE68" s="38"/>
      <x:c r="AF68" s="40"/>
      <x:c r="AG68" s="12"/>
      <x:c r="AH68" s="12"/>
      <x:c r="AI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 t="str">
        <x:f>IF(OR(H69="",J69=""),"", "https://www.amazon.fr/dp/"&amp;H69&amp;"?tag="&amp;J69)</x:f>
      </x:c>
      <x:c r="L69" s="12"/>
      <x:c r="M69" s="36"/>
      <x:c r="N69" s="12"/>
      <x:c r="O69" s="12"/>
      <x:c r="P69" s="12"/>
      <x:c r="Q69" s="12"/>
      <x:c r="R69" s="12"/>
      <x:c r="S69" s="12"/>
      <x:c r="T69" s="12"/>
      <x:c r="U69" s="12" t="str">
        <x:f>IF(COUNTA(O69:T69)=0,"",SUM(O69:T69))</x:f>
      </x:c>
      <x:c r="V69" s="12" t="str">
        <x:f>IF(U69="","",IF(U69&gt;=95,"Exceptionnel",IF(U69&gt;=90,"Excellent",IF(U69&gt;=85,"Très bon",IF(U69&gt;=80,"Bon",IF(U69&gt;=70,"Correct","À revoir"))))))</x:f>
      </x:c>
      <x:c r="W69" s="12"/>
      <x:c r="X69" s="12"/>
      <x:c r="Y69" s="12"/>
      <x:c r="Z69" s="12"/>
      <x:c r="AA69" s="12"/>
      <x:c r="AB69" s="12"/>
      <x:c r="AC69" s="12"/>
      <x:c r="AD69" s="12"/>
      <x:c r="AE69" s="38"/>
      <x:c r="AF69" s="40"/>
      <x:c r="AG69" s="12"/>
      <x:c r="AH69" s="12"/>
      <x:c r="AI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 t="str">
        <x:f>IF(OR(H70="",J70=""),"", "https://www.amazon.fr/dp/"&amp;H70&amp;"?tag="&amp;J70)</x:f>
      </x:c>
      <x:c r="L70" s="12"/>
      <x:c r="M70" s="36"/>
      <x:c r="N70" s="12"/>
      <x:c r="O70" s="12"/>
      <x:c r="P70" s="12"/>
      <x:c r="Q70" s="12"/>
      <x:c r="R70" s="12"/>
      <x:c r="S70" s="12"/>
      <x:c r="T70" s="12"/>
      <x:c r="U70" s="12" t="str">
        <x:f>IF(COUNTA(O70:T70)=0,"",SUM(O70:T70))</x:f>
      </x:c>
      <x:c r="V70" s="12" t="str">
        <x:f>IF(U70="","",IF(U70&gt;=95,"Exceptionnel",IF(U70&gt;=90,"Excellent",IF(U70&gt;=85,"Très bon",IF(U70&gt;=80,"Bon",IF(U70&gt;=70,"Correct","À revoir"))))))</x:f>
      </x:c>
      <x:c r="W70" s="12"/>
      <x:c r="X70" s="12"/>
      <x:c r="Y70" s="12"/>
      <x:c r="Z70" s="12"/>
      <x:c r="AA70" s="12"/>
      <x:c r="AB70" s="12"/>
      <x:c r="AC70" s="12"/>
      <x:c r="AD70" s="12"/>
      <x:c r="AE70" s="38"/>
      <x:c r="AF70" s="40"/>
      <x:c r="AG70" s="12"/>
      <x:c r="AH70" s="12"/>
      <x:c r="AI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 t="str">
        <x:f>IF(OR(H71="",J71=""),"", "https://www.amazon.fr/dp/"&amp;H71&amp;"?tag="&amp;J71)</x:f>
      </x:c>
      <x:c r="L71" s="12"/>
      <x:c r="M71" s="36"/>
      <x:c r="N71" s="12"/>
      <x:c r="O71" s="12"/>
      <x:c r="P71" s="12"/>
      <x:c r="Q71" s="12"/>
      <x:c r="R71" s="12"/>
      <x:c r="S71" s="12"/>
      <x:c r="T71" s="12"/>
      <x:c r="U71" s="12" t="str">
        <x:f>IF(COUNTA(O71:T71)=0,"",SUM(O71:T71))</x:f>
      </x:c>
      <x:c r="V71" s="12" t="str">
        <x:f>IF(U71="","",IF(U71&gt;=95,"Exceptionnel",IF(U71&gt;=90,"Excellent",IF(U71&gt;=85,"Très bon",IF(U71&gt;=80,"Bon",IF(U71&gt;=70,"Correct","À revoir"))))))</x:f>
      </x:c>
      <x:c r="W71" s="12"/>
      <x:c r="X71" s="12"/>
      <x:c r="Y71" s="12"/>
      <x:c r="Z71" s="12"/>
      <x:c r="AA71" s="12"/>
      <x:c r="AB71" s="12"/>
      <x:c r="AC71" s="12"/>
      <x:c r="AD71" s="12"/>
      <x:c r="AE71" s="38"/>
      <x:c r="AF71" s="40"/>
      <x:c r="AG71" s="12"/>
      <x:c r="AH71" s="12"/>
      <x:c r="AI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 t="str">
        <x:f>IF(OR(H72="",J72=""),"", "https://www.amazon.fr/dp/"&amp;H72&amp;"?tag="&amp;J72)</x:f>
      </x:c>
      <x:c r="L72" s="12"/>
      <x:c r="M72" s="36"/>
      <x:c r="N72" s="12"/>
      <x:c r="O72" s="12"/>
      <x:c r="P72" s="12"/>
      <x:c r="Q72" s="12"/>
      <x:c r="R72" s="12"/>
      <x:c r="S72" s="12"/>
      <x:c r="T72" s="12"/>
      <x:c r="U72" s="12" t="str">
        <x:f>IF(COUNTA(O72:T72)=0,"",SUM(O72:T72))</x:f>
      </x:c>
      <x:c r="V72" s="12" t="str">
        <x:f>IF(U72="","",IF(U72&gt;=95,"Exceptionnel",IF(U72&gt;=90,"Excellent",IF(U72&gt;=85,"Très bon",IF(U72&gt;=80,"Bon",IF(U72&gt;=70,"Correct","À revoir"))))))</x:f>
      </x:c>
      <x:c r="W72" s="12"/>
      <x:c r="X72" s="12"/>
      <x:c r="Y72" s="12"/>
      <x:c r="Z72" s="12"/>
      <x:c r="AA72" s="12"/>
      <x:c r="AB72" s="12"/>
      <x:c r="AC72" s="12"/>
      <x:c r="AD72" s="12"/>
      <x:c r="AE72" s="38"/>
      <x:c r="AF72" s="40"/>
      <x:c r="AG72" s="12"/>
      <x:c r="AH72" s="12"/>
      <x:c r="AI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 t="str">
        <x:f>IF(OR(H73="",J73=""),"", "https://www.amazon.fr/dp/"&amp;H73&amp;"?tag="&amp;J73)</x:f>
      </x:c>
      <x:c r="L73" s="12"/>
      <x:c r="M73" s="36"/>
      <x:c r="N73" s="12"/>
      <x:c r="O73" s="12"/>
      <x:c r="P73" s="12"/>
      <x:c r="Q73" s="12"/>
      <x:c r="R73" s="12"/>
      <x:c r="S73" s="12"/>
      <x:c r="T73" s="12"/>
      <x:c r="U73" s="12" t="str">
        <x:f>IF(COUNTA(O73:T73)=0,"",SUM(O73:T73))</x:f>
      </x:c>
      <x:c r="V73" s="12" t="str">
        <x:f>IF(U73="","",IF(U73&gt;=95,"Exceptionnel",IF(U73&gt;=90,"Excellent",IF(U73&gt;=85,"Très bon",IF(U73&gt;=80,"Bon",IF(U73&gt;=70,"Correct","À revoir"))))))</x:f>
      </x:c>
      <x:c r="W73" s="12"/>
      <x:c r="X73" s="12"/>
      <x:c r="Y73" s="12"/>
      <x:c r="Z73" s="12"/>
      <x:c r="AA73" s="12"/>
      <x:c r="AB73" s="12"/>
      <x:c r="AC73" s="12"/>
      <x:c r="AD73" s="12"/>
      <x:c r="AE73" s="38"/>
      <x:c r="AF73" s="40"/>
      <x:c r="AG73" s="12"/>
      <x:c r="AH73" s="12"/>
      <x:c r="AI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 t="str">
        <x:f>IF(OR(H74="",J74=""),"", "https://www.amazon.fr/dp/"&amp;H74&amp;"?tag="&amp;J74)</x:f>
      </x:c>
      <x:c r="L74" s="12"/>
      <x:c r="M74" s="36"/>
      <x:c r="N74" s="12"/>
      <x:c r="O74" s="12"/>
      <x:c r="P74" s="12"/>
      <x:c r="Q74" s="12"/>
      <x:c r="R74" s="12"/>
      <x:c r="S74" s="12"/>
      <x:c r="T74" s="12"/>
      <x:c r="U74" s="12" t="str">
        <x:f>IF(COUNTA(O74:T74)=0,"",SUM(O74:T74))</x:f>
      </x:c>
      <x:c r="V74" s="12" t="str">
        <x:f>IF(U74="","",IF(U74&gt;=95,"Exceptionnel",IF(U74&gt;=90,"Excellent",IF(U74&gt;=85,"Très bon",IF(U74&gt;=80,"Bon",IF(U74&gt;=70,"Correct","À revoir"))))))</x:f>
      </x:c>
      <x:c r="W74" s="12"/>
      <x:c r="X74" s="12"/>
      <x:c r="Y74" s="12"/>
      <x:c r="Z74" s="12"/>
      <x:c r="AA74" s="12"/>
      <x:c r="AB74" s="12"/>
      <x:c r="AC74" s="12"/>
      <x:c r="AD74" s="12"/>
      <x:c r="AE74" s="38"/>
      <x:c r="AF74" s="40"/>
      <x:c r="AG74" s="12"/>
      <x:c r="AH74" s="12"/>
      <x:c r="AI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 t="str">
        <x:f>IF(OR(H75="",J75=""),"", "https://www.amazon.fr/dp/"&amp;H75&amp;"?tag="&amp;J75)</x:f>
      </x:c>
      <x:c r="L75" s="12"/>
      <x:c r="M75" s="36"/>
      <x:c r="N75" s="12"/>
      <x:c r="O75" s="12"/>
      <x:c r="P75" s="12"/>
      <x:c r="Q75" s="12"/>
      <x:c r="R75" s="12"/>
      <x:c r="S75" s="12"/>
      <x:c r="T75" s="12"/>
      <x:c r="U75" s="12" t="str">
        <x:f>IF(COUNTA(O75:T75)=0,"",SUM(O75:T75))</x:f>
      </x:c>
      <x:c r="V75" s="12" t="str">
        <x:f>IF(U75="","",IF(U75&gt;=95,"Exceptionnel",IF(U75&gt;=90,"Excellent",IF(U75&gt;=85,"Très bon",IF(U75&gt;=80,"Bon",IF(U75&gt;=70,"Correct","À revoir"))))))</x:f>
      </x:c>
      <x:c r="W75" s="12"/>
      <x:c r="X75" s="12"/>
      <x:c r="Y75" s="12"/>
      <x:c r="Z75" s="12"/>
      <x:c r="AA75" s="12"/>
      <x:c r="AB75" s="12"/>
      <x:c r="AC75" s="12"/>
      <x:c r="AD75" s="12"/>
      <x:c r="AE75" s="38"/>
      <x:c r="AF75" s="40"/>
      <x:c r="AG75" s="12"/>
      <x:c r="AH75" s="12"/>
      <x:c r="AI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 t="str">
        <x:f>IF(OR(H76="",J76=""),"", "https://www.amazon.fr/dp/"&amp;H76&amp;"?tag="&amp;J76)</x:f>
      </x:c>
      <x:c r="L76" s="12"/>
      <x:c r="M76" s="36"/>
      <x:c r="N76" s="12"/>
      <x:c r="O76" s="12"/>
      <x:c r="P76" s="12"/>
      <x:c r="Q76" s="12"/>
      <x:c r="R76" s="12"/>
      <x:c r="S76" s="12"/>
      <x:c r="T76" s="12"/>
      <x:c r="U76" s="12" t="str">
        <x:f>IF(COUNTA(O76:T76)=0,"",SUM(O76:T76))</x:f>
      </x:c>
      <x:c r="V76" s="12" t="str">
        <x:f>IF(U76="","",IF(U76&gt;=95,"Exceptionnel",IF(U76&gt;=90,"Excellent",IF(U76&gt;=85,"Très bon",IF(U76&gt;=80,"Bon",IF(U76&gt;=70,"Correct","À revoir"))))))</x:f>
      </x:c>
      <x:c r="W76" s="12"/>
      <x:c r="X76" s="12"/>
      <x:c r="Y76" s="12"/>
      <x:c r="Z76" s="12"/>
      <x:c r="AA76" s="12"/>
      <x:c r="AB76" s="12"/>
      <x:c r="AC76" s="12"/>
      <x:c r="AD76" s="12"/>
      <x:c r="AE76" s="38"/>
      <x:c r="AF76" s="40"/>
      <x:c r="AG76" s="12"/>
      <x:c r="AH76" s="12"/>
      <x:c r="AI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 t="str">
        <x:f>IF(OR(H77="",J77=""),"", "https://www.amazon.fr/dp/"&amp;H77&amp;"?tag="&amp;J77)</x:f>
      </x:c>
      <x:c r="L77" s="12"/>
      <x:c r="M77" s="36"/>
      <x:c r="N77" s="12"/>
      <x:c r="O77" s="12"/>
      <x:c r="P77" s="12"/>
      <x:c r="Q77" s="12"/>
      <x:c r="R77" s="12"/>
      <x:c r="S77" s="12"/>
      <x:c r="T77" s="12"/>
      <x:c r="U77" s="12" t="str">
        <x:f>IF(COUNTA(O77:T77)=0,"",SUM(O77:T77))</x:f>
      </x:c>
      <x:c r="V77" s="12" t="str">
        <x:f>IF(U77="","",IF(U77&gt;=95,"Exceptionnel",IF(U77&gt;=90,"Excellent",IF(U77&gt;=85,"Très bon",IF(U77&gt;=80,"Bon",IF(U77&gt;=70,"Correct","À revoir"))))))</x:f>
      </x:c>
      <x:c r="W77" s="12"/>
      <x:c r="X77" s="12"/>
      <x:c r="Y77" s="12"/>
      <x:c r="Z77" s="12"/>
      <x:c r="AA77" s="12"/>
      <x:c r="AB77" s="12"/>
      <x:c r="AC77" s="12"/>
      <x:c r="AD77" s="12"/>
      <x:c r="AE77" s="38"/>
      <x:c r="AF77" s="40"/>
      <x:c r="AG77" s="12"/>
      <x:c r="AH77" s="12"/>
      <x:c r="AI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 t="str">
        <x:f>IF(OR(H78="",J78=""),"", "https://www.amazon.fr/dp/"&amp;H78&amp;"?tag="&amp;J78)</x:f>
      </x:c>
      <x:c r="L78" s="12"/>
      <x:c r="M78" s="36"/>
      <x:c r="N78" s="12"/>
      <x:c r="O78" s="12"/>
      <x:c r="P78" s="12"/>
      <x:c r="Q78" s="12"/>
      <x:c r="R78" s="12"/>
      <x:c r="S78" s="12"/>
      <x:c r="T78" s="12"/>
      <x:c r="U78" s="12" t="str">
        <x:f>IF(COUNTA(O78:T78)=0,"",SUM(O78:T78))</x:f>
      </x:c>
      <x:c r="V78" s="12" t="str">
        <x:f>IF(U78="","",IF(U78&gt;=95,"Exceptionnel",IF(U78&gt;=90,"Excellent",IF(U78&gt;=85,"Très bon",IF(U78&gt;=80,"Bon",IF(U78&gt;=70,"Correct","À revoir"))))))</x:f>
      </x:c>
      <x:c r="W78" s="12"/>
      <x:c r="X78" s="12"/>
      <x:c r="Y78" s="12"/>
      <x:c r="Z78" s="12"/>
      <x:c r="AA78" s="12"/>
      <x:c r="AB78" s="12"/>
      <x:c r="AC78" s="12"/>
      <x:c r="AD78" s="12"/>
      <x:c r="AE78" s="38"/>
      <x:c r="AF78" s="40"/>
      <x:c r="AG78" s="12"/>
      <x:c r="AH78" s="12"/>
      <x:c r="AI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 t="str">
        <x:f>IF(OR(H79="",J79=""),"", "https://www.amazon.fr/dp/"&amp;H79&amp;"?tag="&amp;J79)</x:f>
      </x:c>
      <x:c r="L79" s="12"/>
      <x:c r="M79" s="36"/>
      <x:c r="N79" s="12"/>
      <x:c r="O79" s="12"/>
      <x:c r="P79" s="12"/>
      <x:c r="Q79" s="12"/>
      <x:c r="R79" s="12"/>
      <x:c r="S79" s="12"/>
      <x:c r="T79" s="12"/>
      <x:c r="U79" s="12" t="str">
        <x:f>IF(COUNTA(O79:T79)=0,"",SUM(O79:T79))</x:f>
      </x:c>
      <x:c r="V79" s="12" t="str">
        <x:f>IF(U79="","",IF(U79&gt;=95,"Exceptionnel",IF(U79&gt;=90,"Excellent",IF(U79&gt;=85,"Très bon",IF(U79&gt;=80,"Bon",IF(U79&gt;=70,"Correct","À revoir"))))))</x:f>
      </x:c>
      <x:c r="W79" s="12"/>
      <x:c r="X79" s="12"/>
      <x:c r="Y79" s="12"/>
      <x:c r="Z79" s="12"/>
      <x:c r="AA79" s="12"/>
      <x:c r="AB79" s="12"/>
      <x:c r="AC79" s="12"/>
      <x:c r="AD79" s="12"/>
      <x:c r="AE79" s="38"/>
      <x:c r="AF79" s="40"/>
      <x:c r="AG79" s="12"/>
      <x:c r="AH79" s="12"/>
      <x:c r="AI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 t="str">
        <x:f>IF(OR(H80="",J80=""),"", "https://www.amazon.fr/dp/"&amp;H80&amp;"?tag="&amp;J80)</x:f>
      </x:c>
      <x:c r="L80" s="12"/>
      <x:c r="M80" s="36"/>
      <x:c r="N80" s="12"/>
      <x:c r="O80" s="12"/>
      <x:c r="P80" s="12"/>
      <x:c r="Q80" s="12"/>
      <x:c r="R80" s="12"/>
      <x:c r="S80" s="12"/>
      <x:c r="T80" s="12"/>
      <x:c r="U80" s="12" t="str">
        <x:f>IF(COUNTA(O80:T80)=0,"",SUM(O80:T80))</x:f>
      </x:c>
      <x:c r="V80" s="12" t="str">
        <x:f>IF(U80="","",IF(U80&gt;=95,"Exceptionnel",IF(U80&gt;=90,"Excellent",IF(U80&gt;=85,"Très bon",IF(U80&gt;=80,"Bon",IF(U80&gt;=70,"Correct","À revoir"))))))</x:f>
      </x:c>
      <x:c r="W80" s="12"/>
      <x:c r="X80" s="12"/>
      <x:c r="Y80" s="12"/>
      <x:c r="Z80" s="12"/>
      <x:c r="AA80" s="12"/>
      <x:c r="AB80" s="12"/>
      <x:c r="AC80" s="12"/>
      <x:c r="AD80" s="12"/>
      <x:c r="AE80" s="38"/>
      <x:c r="AF80" s="40"/>
      <x:c r="AG80" s="12"/>
      <x:c r="AH80" s="12"/>
      <x:c r="AI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 t="str">
        <x:f>IF(OR(H81="",J81=""),"", "https://www.amazon.fr/dp/"&amp;H81&amp;"?tag="&amp;J81)</x:f>
      </x:c>
      <x:c r="L81" s="12"/>
      <x:c r="M81" s="36"/>
      <x:c r="N81" s="12"/>
      <x:c r="O81" s="12"/>
      <x:c r="P81" s="12"/>
      <x:c r="Q81" s="12"/>
      <x:c r="R81" s="12"/>
      <x:c r="S81" s="12"/>
      <x:c r="T81" s="12"/>
      <x:c r="U81" s="12" t="str">
        <x:f>IF(COUNTA(O81:T81)=0,"",SUM(O81:T81))</x:f>
      </x:c>
      <x:c r="V81" s="12" t="str">
        <x:f>IF(U81="","",IF(U81&gt;=95,"Exceptionnel",IF(U81&gt;=90,"Excellent",IF(U81&gt;=85,"Très bon",IF(U81&gt;=80,"Bon",IF(U81&gt;=70,"Correct","À revoir"))))))</x:f>
      </x:c>
      <x:c r="W81" s="12"/>
      <x:c r="X81" s="12"/>
      <x:c r="Y81" s="12"/>
      <x:c r="Z81" s="12"/>
      <x:c r="AA81" s="12"/>
      <x:c r="AB81" s="12"/>
      <x:c r="AC81" s="12"/>
      <x:c r="AD81" s="12"/>
      <x:c r="AE81" s="38"/>
      <x:c r="AF81" s="40"/>
      <x:c r="AG81" s="12"/>
      <x:c r="AH81" s="12"/>
      <x:c r="AI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 t="str">
        <x:f>IF(OR(H82="",J82=""),"", "https://www.amazon.fr/dp/"&amp;H82&amp;"?tag="&amp;J82)</x:f>
      </x:c>
      <x:c r="L82" s="12"/>
      <x:c r="M82" s="36"/>
      <x:c r="N82" s="12"/>
      <x:c r="O82" s="12"/>
      <x:c r="P82" s="12"/>
      <x:c r="Q82" s="12"/>
      <x:c r="R82" s="12"/>
      <x:c r="S82" s="12"/>
      <x:c r="T82" s="12"/>
      <x:c r="U82" s="12" t="str">
        <x:f>IF(COUNTA(O82:T82)=0,"",SUM(O82:T82))</x:f>
      </x:c>
      <x:c r="V82" s="12" t="str">
        <x:f>IF(U82="","",IF(U82&gt;=95,"Exceptionnel",IF(U82&gt;=90,"Excellent",IF(U82&gt;=85,"Très bon",IF(U82&gt;=80,"Bon",IF(U82&gt;=70,"Correct","À revoir"))))))</x:f>
      </x:c>
      <x:c r="W82" s="12"/>
      <x:c r="X82" s="12"/>
      <x:c r="Y82" s="12"/>
      <x:c r="Z82" s="12"/>
      <x:c r="AA82" s="12"/>
      <x:c r="AB82" s="12"/>
      <x:c r="AC82" s="12"/>
      <x:c r="AD82" s="12"/>
      <x:c r="AE82" s="38"/>
      <x:c r="AF82" s="40"/>
      <x:c r="AG82" s="12"/>
      <x:c r="AH82" s="12"/>
      <x:c r="AI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 t="str">
        <x:f>IF(OR(H83="",J83=""),"", "https://www.amazon.fr/dp/"&amp;H83&amp;"?tag="&amp;J83)</x:f>
      </x:c>
      <x:c r="L83" s="12"/>
      <x:c r="M83" s="36"/>
      <x:c r="N83" s="12"/>
      <x:c r="O83" s="12"/>
      <x:c r="P83" s="12"/>
      <x:c r="Q83" s="12"/>
      <x:c r="R83" s="12"/>
      <x:c r="S83" s="12"/>
      <x:c r="T83" s="12"/>
      <x:c r="U83" s="12" t="str">
        <x:f>IF(COUNTA(O83:T83)=0,"",SUM(O83:T83))</x:f>
      </x:c>
      <x:c r="V83" s="12" t="str">
        <x:f>IF(U83="","",IF(U83&gt;=95,"Exceptionnel",IF(U83&gt;=90,"Excellent",IF(U83&gt;=85,"Très bon",IF(U83&gt;=80,"Bon",IF(U83&gt;=70,"Correct","À revoir"))))))</x:f>
      </x:c>
      <x:c r="W83" s="12"/>
      <x:c r="X83" s="12"/>
      <x:c r="Y83" s="12"/>
      <x:c r="Z83" s="12"/>
      <x:c r="AA83" s="12"/>
      <x:c r="AB83" s="12"/>
      <x:c r="AC83" s="12"/>
      <x:c r="AD83" s="12"/>
      <x:c r="AE83" s="38"/>
      <x:c r="AF83" s="40"/>
      <x:c r="AG83" s="12"/>
      <x:c r="AH83" s="12"/>
      <x:c r="AI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 t="str">
        <x:f>IF(OR(H84="",J84=""),"", "https://www.amazon.fr/dp/"&amp;H84&amp;"?tag="&amp;J84)</x:f>
      </x:c>
      <x:c r="L84" s="12"/>
      <x:c r="M84" s="36"/>
      <x:c r="N84" s="12"/>
      <x:c r="O84" s="12"/>
      <x:c r="P84" s="12"/>
      <x:c r="Q84" s="12"/>
      <x:c r="R84" s="12"/>
      <x:c r="S84" s="12"/>
      <x:c r="T84" s="12"/>
      <x:c r="U84" s="12" t="str">
        <x:f>IF(COUNTA(O84:T84)=0,"",SUM(O84:T84))</x:f>
      </x:c>
      <x:c r="V84" s="12" t="str">
        <x:f>IF(U84="","",IF(U84&gt;=95,"Exceptionnel",IF(U84&gt;=90,"Excellent",IF(U84&gt;=85,"Très bon",IF(U84&gt;=80,"Bon",IF(U84&gt;=70,"Correct","À revoir"))))))</x:f>
      </x:c>
      <x:c r="W84" s="12"/>
      <x:c r="X84" s="12"/>
      <x:c r="Y84" s="12"/>
      <x:c r="Z84" s="12"/>
      <x:c r="AA84" s="12"/>
      <x:c r="AB84" s="12"/>
      <x:c r="AC84" s="12"/>
      <x:c r="AD84" s="12"/>
      <x:c r="AE84" s="38"/>
      <x:c r="AF84" s="40"/>
      <x:c r="AG84" s="12"/>
      <x:c r="AH84" s="12"/>
      <x:c r="AI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 t="str">
        <x:f>IF(OR(H85="",J85=""),"", "https://www.amazon.fr/dp/"&amp;H85&amp;"?tag="&amp;J85)</x:f>
      </x:c>
      <x:c r="L85" s="12"/>
      <x:c r="M85" s="36"/>
      <x:c r="N85" s="12"/>
      <x:c r="O85" s="12"/>
      <x:c r="P85" s="12"/>
      <x:c r="Q85" s="12"/>
      <x:c r="R85" s="12"/>
      <x:c r="S85" s="12"/>
      <x:c r="T85" s="12"/>
      <x:c r="U85" s="12" t="str">
        <x:f>IF(COUNTA(O85:T85)=0,"",SUM(O85:T85))</x:f>
      </x:c>
      <x:c r="V85" s="12" t="str">
        <x:f>IF(U85="","",IF(U85&gt;=95,"Exceptionnel",IF(U85&gt;=90,"Excellent",IF(U85&gt;=85,"Très bon",IF(U85&gt;=80,"Bon",IF(U85&gt;=70,"Correct","À revoir"))))))</x:f>
      </x:c>
      <x:c r="W85" s="12"/>
      <x:c r="X85" s="12"/>
      <x:c r="Y85" s="12"/>
      <x:c r="Z85" s="12"/>
      <x:c r="AA85" s="12"/>
      <x:c r="AB85" s="12"/>
      <x:c r="AC85" s="12"/>
      <x:c r="AD85" s="12"/>
      <x:c r="AE85" s="38"/>
      <x:c r="AF85" s="40"/>
      <x:c r="AG85" s="12"/>
      <x:c r="AH85" s="12"/>
      <x:c r="AI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 t="str">
        <x:f>IF(OR(H86="",J86=""),"", "https://www.amazon.fr/dp/"&amp;H86&amp;"?tag="&amp;J86)</x:f>
      </x:c>
      <x:c r="L86" s="12"/>
      <x:c r="M86" s="36"/>
      <x:c r="N86" s="12"/>
      <x:c r="O86" s="12"/>
      <x:c r="P86" s="12"/>
      <x:c r="Q86" s="12"/>
      <x:c r="R86" s="12"/>
      <x:c r="S86" s="12"/>
      <x:c r="T86" s="12"/>
      <x:c r="U86" s="12" t="str">
        <x:f>IF(COUNTA(O86:T86)=0,"",SUM(O86:T86))</x:f>
      </x:c>
      <x:c r="V86" s="12" t="str">
        <x:f>IF(U86="","",IF(U86&gt;=95,"Exceptionnel",IF(U86&gt;=90,"Excellent",IF(U86&gt;=85,"Très bon",IF(U86&gt;=80,"Bon",IF(U86&gt;=70,"Correct","À revoir"))))))</x:f>
      </x:c>
      <x:c r="W86" s="12"/>
      <x:c r="X86" s="12"/>
      <x:c r="Y86" s="12"/>
      <x:c r="Z86" s="12"/>
      <x:c r="AA86" s="12"/>
      <x:c r="AB86" s="12"/>
      <x:c r="AC86" s="12"/>
      <x:c r="AD86" s="12"/>
      <x:c r="AE86" s="38"/>
      <x:c r="AF86" s="40"/>
      <x:c r="AG86" s="12"/>
      <x:c r="AH86" s="12"/>
      <x:c r="AI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 t="str">
        <x:f>IF(OR(H87="",J87=""),"", "https://www.amazon.fr/dp/"&amp;H87&amp;"?tag="&amp;J87)</x:f>
      </x:c>
      <x:c r="L87" s="12"/>
      <x:c r="M87" s="36"/>
      <x:c r="N87" s="12"/>
      <x:c r="O87" s="12"/>
      <x:c r="P87" s="12"/>
      <x:c r="Q87" s="12"/>
      <x:c r="R87" s="12"/>
      <x:c r="S87" s="12"/>
      <x:c r="T87" s="12"/>
      <x:c r="U87" s="12" t="str">
        <x:f>IF(COUNTA(O87:T87)=0,"",SUM(O87:T87))</x:f>
      </x:c>
      <x:c r="V87" s="12" t="str">
        <x:f>IF(U87="","",IF(U87&gt;=95,"Exceptionnel",IF(U87&gt;=90,"Excellent",IF(U87&gt;=85,"Très bon",IF(U87&gt;=80,"Bon",IF(U87&gt;=70,"Correct","À revoir"))))))</x:f>
      </x:c>
      <x:c r="W87" s="12"/>
      <x:c r="X87" s="12"/>
      <x:c r="Y87" s="12"/>
      <x:c r="Z87" s="12"/>
      <x:c r="AA87" s="12"/>
      <x:c r="AB87" s="12"/>
      <x:c r="AC87" s="12"/>
      <x:c r="AD87" s="12"/>
      <x:c r="AE87" s="38"/>
      <x:c r="AF87" s="40"/>
      <x:c r="AG87" s="12"/>
      <x:c r="AH87" s="12"/>
      <x:c r="AI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 t="str">
        <x:f>IF(OR(H88="",J88=""),"", "https://www.amazon.fr/dp/"&amp;H88&amp;"?tag="&amp;J88)</x:f>
      </x:c>
      <x:c r="L88" s="12"/>
      <x:c r="M88" s="36"/>
      <x:c r="N88" s="12"/>
      <x:c r="O88" s="12"/>
      <x:c r="P88" s="12"/>
      <x:c r="Q88" s="12"/>
      <x:c r="R88" s="12"/>
      <x:c r="S88" s="12"/>
      <x:c r="T88" s="12"/>
      <x:c r="U88" s="12" t="str">
        <x:f>IF(COUNTA(O88:T88)=0,"",SUM(O88:T88))</x:f>
      </x:c>
      <x:c r="V88" s="12" t="str">
        <x:f>IF(U88="","",IF(U88&gt;=95,"Exceptionnel",IF(U88&gt;=90,"Excellent",IF(U88&gt;=85,"Très bon",IF(U88&gt;=80,"Bon",IF(U88&gt;=70,"Correct","À revoir"))))))</x:f>
      </x:c>
      <x:c r="W88" s="12"/>
      <x:c r="X88" s="12"/>
      <x:c r="Y88" s="12"/>
      <x:c r="Z88" s="12"/>
      <x:c r="AA88" s="12"/>
      <x:c r="AB88" s="12"/>
      <x:c r="AC88" s="12"/>
      <x:c r="AD88" s="12"/>
      <x:c r="AE88" s="38"/>
      <x:c r="AF88" s="40"/>
      <x:c r="AG88" s="12"/>
      <x:c r="AH88" s="12"/>
      <x:c r="AI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 t="str">
        <x:f>IF(OR(H89="",J89=""),"", "https://www.amazon.fr/dp/"&amp;H89&amp;"?tag="&amp;J89)</x:f>
      </x:c>
      <x:c r="L89" s="12"/>
      <x:c r="M89" s="36"/>
      <x:c r="N89" s="12"/>
      <x:c r="O89" s="12"/>
      <x:c r="P89" s="12"/>
      <x:c r="Q89" s="12"/>
      <x:c r="R89" s="12"/>
      <x:c r="S89" s="12"/>
      <x:c r="T89" s="12"/>
      <x:c r="U89" s="12" t="str">
        <x:f>IF(COUNTA(O89:T89)=0,"",SUM(O89:T89))</x:f>
      </x:c>
      <x:c r="V89" s="12" t="str">
        <x:f>IF(U89="","",IF(U89&gt;=95,"Exceptionnel",IF(U89&gt;=90,"Excellent",IF(U89&gt;=85,"Très bon",IF(U89&gt;=80,"Bon",IF(U89&gt;=70,"Correct","À revoir"))))))</x:f>
      </x:c>
      <x:c r="W89" s="12"/>
      <x:c r="X89" s="12"/>
      <x:c r="Y89" s="12"/>
      <x:c r="Z89" s="12"/>
      <x:c r="AA89" s="12"/>
      <x:c r="AB89" s="12"/>
      <x:c r="AC89" s="12"/>
      <x:c r="AD89" s="12"/>
      <x:c r="AE89" s="38"/>
      <x:c r="AF89" s="40"/>
      <x:c r="AG89" s="12"/>
      <x:c r="AH89" s="12"/>
      <x:c r="AI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 t="str">
        <x:f>IF(OR(H90="",J90=""),"", "https://www.amazon.fr/dp/"&amp;H90&amp;"?tag="&amp;J90)</x:f>
      </x:c>
      <x:c r="L90" s="12"/>
      <x:c r="M90" s="36"/>
      <x:c r="N90" s="12"/>
      <x:c r="O90" s="12"/>
      <x:c r="P90" s="12"/>
      <x:c r="Q90" s="12"/>
      <x:c r="R90" s="12"/>
      <x:c r="S90" s="12"/>
      <x:c r="T90" s="12"/>
      <x:c r="U90" s="12" t="str">
        <x:f>IF(COUNTA(O90:T90)=0,"",SUM(O90:T90))</x:f>
      </x:c>
      <x:c r="V90" s="12" t="str">
        <x:f>IF(U90="","",IF(U90&gt;=95,"Exceptionnel",IF(U90&gt;=90,"Excellent",IF(U90&gt;=85,"Très bon",IF(U90&gt;=80,"Bon",IF(U90&gt;=70,"Correct","À revoir"))))))</x:f>
      </x:c>
      <x:c r="W90" s="12"/>
      <x:c r="X90" s="12"/>
      <x:c r="Y90" s="12"/>
      <x:c r="Z90" s="12"/>
      <x:c r="AA90" s="12"/>
      <x:c r="AB90" s="12"/>
      <x:c r="AC90" s="12"/>
      <x:c r="AD90" s="12"/>
      <x:c r="AE90" s="38"/>
      <x:c r="AF90" s="40"/>
      <x:c r="AG90" s="12"/>
      <x:c r="AH90" s="12"/>
      <x:c r="AI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 t="str">
        <x:f>IF(OR(H91="",J91=""),"", "https://www.amazon.fr/dp/"&amp;H91&amp;"?tag="&amp;J91)</x:f>
      </x:c>
      <x:c r="L91" s="12"/>
      <x:c r="M91" s="36"/>
      <x:c r="N91" s="12"/>
      <x:c r="O91" s="12"/>
      <x:c r="P91" s="12"/>
      <x:c r="Q91" s="12"/>
      <x:c r="R91" s="12"/>
      <x:c r="S91" s="12"/>
      <x:c r="T91" s="12"/>
      <x:c r="U91" s="12" t="str">
        <x:f>IF(COUNTA(O91:T91)=0,"",SUM(O91:T91))</x:f>
      </x:c>
      <x:c r="V91" s="12" t="str">
        <x:f>IF(U91="","",IF(U91&gt;=95,"Exceptionnel",IF(U91&gt;=90,"Excellent",IF(U91&gt;=85,"Très bon",IF(U91&gt;=80,"Bon",IF(U91&gt;=70,"Correct","À revoir"))))))</x:f>
      </x:c>
      <x:c r="W91" s="12"/>
      <x:c r="X91" s="12"/>
      <x:c r="Y91" s="12"/>
      <x:c r="Z91" s="12"/>
      <x:c r="AA91" s="12"/>
      <x:c r="AB91" s="12"/>
      <x:c r="AC91" s="12"/>
      <x:c r="AD91" s="12"/>
      <x:c r="AE91" s="38"/>
      <x:c r="AF91" s="40"/>
      <x:c r="AG91" s="12"/>
      <x:c r="AH91" s="12"/>
      <x:c r="AI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 t="str">
        <x:f>IF(OR(H92="",J92=""),"", "https://www.amazon.fr/dp/"&amp;H92&amp;"?tag="&amp;J92)</x:f>
      </x:c>
      <x:c r="L92" s="12"/>
      <x:c r="M92" s="36"/>
      <x:c r="N92" s="12"/>
      <x:c r="O92" s="12"/>
      <x:c r="P92" s="12"/>
      <x:c r="Q92" s="12"/>
      <x:c r="R92" s="12"/>
      <x:c r="S92" s="12"/>
      <x:c r="T92" s="12"/>
      <x:c r="U92" s="12" t="str">
        <x:f>IF(COUNTA(O92:T92)=0,"",SUM(O92:T92))</x:f>
      </x:c>
      <x:c r="V92" s="12" t="str">
        <x:f>IF(U92="","",IF(U92&gt;=95,"Exceptionnel",IF(U92&gt;=90,"Excellent",IF(U92&gt;=85,"Très bon",IF(U92&gt;=80,"Bon",IF(U92&gt;=70,"Correct","À revoir"))))))</x:f>
      </x:c>
      <x:c r="W92" s="12"/>
      <x:c r="X92" s="12"/>
      <x:c r="Y92" s="12"/>
      <x:c r="Z92" s="12"/>
      <x:c r="AA92" s="12"/>
      <x:c r="AB92" s="12"/>
      <x:c r="AC92" s="12"/>
      <x:c r="AD92" s="12"/>
      <x:c r="AE92" s="38"/>
      <x:c r="AF92" s="40"/>
      <x:c r="AG92" s="12"/>
      <x:c r="AH92" s="12"/>
      <x:c r="AI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 t="str">
        <x:f>IF(OR(H93="",J93=""),"", "https://www.amazon.fr/dp/"&amp;H93&amp;"?tag="&amp;J93)</x:f>
      </x:c>
      <x:c r="L93" s="12"/>
      <x:c r="M93" s="36"/>
      <x:c r="N93" s="12"/>
      <x:c r="O93" s="12"/>
      <x:c r="P93" s="12"/>
      <x:c r="Q93" s="12"/>
      <x:c r="R93" s="12"/>
      <x:c r="S93" s="12"/>
      <x:c r="T93" s="12"/>
      <x:c r="U93" s="12" t="str">
        <x:f>IF(COUNTA(O93:T93)=0,"",SUM(O93:T93))</x:f>
      </x:c>
      <x:c r="V93" s="12" t="str">
        <x:f>IF(U93="","",IF(U93&gt;=95,"Exceptionnel",IF(U93&gt;=90,"Excellent",IF(U93&gt;=85,"Très bon",IF(U93&gt;=80,"Bon",IF(U93&gt;=70,"Correct","À revoir"))))))</x:f>
      </x:c>
      <x:c r="W93" s="12"/>
      <x:c r="X93" s="12"/>
      <x:c r="Y93" s="12"/>
      <x:c r="Z93" s="12"/>
      <x:c r="AA93" s="12"/>
      <x:c r="AB93" s="12"/>
      <x:c r="AC93" s="12"/>
      <x:c r="AD93" s="12"/>
      <x:c r="AE93" s="38"/>
      <x:c r="AF93" s="40"/>
      <x:c r="AG93" s="12"/>
      <x:c r="AH93" s="12"/>
      <x:c r="AI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 t="str">
        <x:f>IF(OR(H94="",J94=""),"", "https://www.amazon.fr/dp/"&amp;H94&amp;"?tag="&amp;J94)</x:f>
      </x:c>
      <x:c r="L94" s="12"/>
      <x:c r="M94" s="36"/>
      <x:c r="N94" s="12"/>
      <x:c r="O94" s="12"/>
      <x:c r="P94" s="12"/>
      <x:c r="Q94" s="12"/>
      <x:c r="R94" s="12"/>
      <x:c r="S94" s="12"/>
      <x:c r="T94" s="12"/>
      <x:c r="U94" s="12" t="str">
        <x:f>IF(COUNTA(O94:T94)=0,"",SUM(O94:T94))</x:f>
      </x:c>
      <x:c r="V94" s="12" t="str">
        <x:f>IF(U94="","",IF(U94&gt;=95,"Exceptionnel",IF(U94&gt;=90,"Excellent",IF(U94&gt;=85,"Très bon",IF(U94&gt;=80,"Bon",IF(U94&gt;=70,"Correct","À revoir"))))))</x:f>
      </x:c>
      <x:c r="W94" s="12"/>
      <x:c r="X94" s="12"/>
      <x:c r="Y94" s="12"/>
      <x:c r="Z94" s="12"/>
      <x:c r="AA94" s="12"/>
      <x:c r="AB94" s="12"/>
      <x:c r="AC94" s="12"/>
      <x:c r="AD94" s="12"/>
      <x:c r="AE94" s="38"/>
      <x:c r="AF94" s="40"/>
      <x:c r="AG94" s="12"/>
      <x:c r="AH94" s="12"/>
      <x:c r="AI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 t="str">
        <x:f>IF(OR(H95="",J95=""),"", "https://www.amazon.fr/dp/"&amp;H95&amp;"?tag="&amp;J95)</x:f>
      </x:c>
      <x:c r="L95" s="12"/>
      <x:c r="M95" s="36"/>
      <x:c r="N95" s="12"/>
      <x:c r="O95" s="12"/>
      <x:c r="P95" s="12"/>
      <x:c r="Q95" s="12"/>
      <x:c r="R95" s="12"/>
      <x:c r="S95" s="12"/>
      <x:c r="T95" s="12"/>
      <x:c r="U95" s="12" t="str">
        <x:f>IF(COUNTA(O95:T95)=0,"",SUM(O95:T95))</x:f>
      </x:c>
      <x:c r="V95" s="12" t="str">
        <x:f>IF(U95="","",IF(U95&gt;=95,"Exceptionnel",IF(U95&gt;=90,"Excellent",IF(U95&gt;=85,"Très bon",IF(U95&gt;=80,"Bon",IF(U95&gt;=70,"Correct","À revoir"))))))</x:f>
      </x:c>
      <x:c r="W95" s="12"/>
      <x:c r="X95" s="12"/>
      <x:c r="Y95" s="12"/>
      <x:c r="Z95" s="12"/>
      <x:c r="AA95" s="12"/>
      <x:c r="AB95" s="12"/>
      <x:c r="AC95" s="12"/>
      <x:c r="AD95" s="12"/>
      <x:c r="AE95" s="38"/>
      <x:c r="AF95" s="40"/>
      <x:c r="AG95" s="12"/>
      <x:c r="AH95" s="12"/>
      <x:c r="AI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 t="str">
        <x:f>IF(OR(H96="",J96=""),"", "https://www.amazon.fr/dp/"&amp;H96&amp;"?tag="&amp;J96)</x:f>
      </x:c>
      <x:c r="L96" s="12"/>
      <x:c r="M96" s="36"/>
      <x:c r="N96" s="12"/>
      <x:c r="O96" s="12"/>
      <x:c r="P96" s="12"/>
      <x:c r="Q96" s="12"/>
      <x:c r="R96" s="12"/>
      <x:c r="S96" s="12"/>
      <x:c r="T96" s="12"/>
      <x:c r="U96" s="12" t="str">
        <x:f>IF(COUNTA(O96:T96)=0,"",SUM(O96:T96))</x:f>
      </x:c>
      <x:c r="V96" s="12" t="str">
        <x:f>IF(U96="","",IF(U96&gt;=95,"Exceptionnel",IF(U96&gt;=90,"Excellent",IF(U96&gt;=85,"Très bon",IF(U96&gt;=80,"Bon",IF(U96&gt;=70,"Correct","À revoir"))))))</x:f>
      </x:c>
      <x:c r="W96" s="12"/>
      <x:c r="X96" s="12"/>
      <x:c r="Y96" s="12"/>
      <x:c r="Z96" s="12"/>
      <x:c r="AA96" s="12"/>
      <x:c r="AB96" s="12"/>
      <x:c r="AC96" s="12"/>
      <x:c r="AD96" s="12"/>
      <x:c r="AE96" s="38"/>
      <x:c r="AF96" s="40"/>
      <x:c r="AG96" s="12"/>
      <x:c r="AH96" s="12"/>
      <x:c r="AI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 t="str">
        <x:f>IF(OR(H97="",J97=""),"", "https://www.amazon.fr/dp/"&amp;H97&amp;"?tag="&amp;J97)</x:f>
      </x:c>
      <x:c r="L97" s="12"/>
      <x:c r="M97" s="36"/>
      <x:c r="N97" s="12"/>
      <x:c r="O97" s="12"/>
      <x:c r="P97" s="12"/>
      <x:c r="Q97" s="12"/>
      <x:c r="R97" s="12"/>
      <x:c r="S97" s="12"/>
      <x:c r="T97" s="12"/>
      <x:c r="U97" s="12" t="str">
        <x:f>IF(COUNTA(O97:T97)=0,"",SUM(O97:T97))</x:f>
      </x:c>
      <x:c r="V97" s="12" t="str">
        <x:f>IF(U97="","",IF(U97&gt;=95,"Exceptionnel",IF(U97&gt;=90,"Excellent",IF(U97&gt;=85,"Très bon",IF(U97&gt;=80,"Bon",IF(U97&gt;=70,"Correct","À revoir"))))))</x:f>
      </x:c>
      <x:c r="W97" s="12"/>
      <x:c r="X97" s="12"/>
      <x:c r="Y97" s="12"/>
      <x:c r="Z97" s="12"/>
      <x:c r="AA97" s="12"/>
      <x:c r="AB97" s="12"/>
      <x:c r="AC97" s="12"/>
      <x:c r="AD97" s="12"/>
      <x:c r="AE97" s="38"/>
      <x:c r="AF97" s="40"/>
      <x:c r="AG97" s="12"/>
      <x:c r="AH97" s="12"/>
      <x:c r="AI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 t="str">
        <x:f>IF(OR(H98="",J98=""),"", "https://www.amazon.fr/dp/"&amp;H98&amp;"?tag="&amp;J98)</x:f>
      </x:c>
      <x:c r="L98" s="12"/>
      <x:c r="M98" s="36"/>
      <x:c r="N98" s="12"/>
      <x:c r="O98" s="12"/>
      <x:c r="P98" s="12"/>
      <x:c r="Q98" s="12"/>
      <x:c r="R98" s="12"/>
      <x:c r="S98" s="12"/>
      <x:c r="T98" s="12"/>
      <x:c r="U98" s="12" t="str">
        <x:f>IF(COUNTA(O98:T98)=0,"",SUM(O98:T98))</x:f>
      </x:c>
      <x:c r="V98" s="12" t="str">
        <x:f>IF(U98="","",IF(U98&gt;=95,"Exceptionnel",IF(U98&gt;=90,"Excellent",IF(U98&gt;=85,"Très bon",IF(U98&gt;=80,"Bon",IF(U98&gt;=70,"Correct","À revoir"))))))</x:f>
      </x:c>
      <x:c r="W98" s="12"/>
      <x:c r="X98" s="12"/>
      <x:c r="Y98" s="12"/>
      <x:c r="Z98" s="12"/>
      <x:c r="AA98" s="12"/>
      <x:c r="AB98" s="12"/>
      <x:c r="AC98" s="12"/>
      <x:c r="AD98" s="12"/>
      <x:c r="AE98" s="38"/>
      <x:c r="AF98" s="40"/>
      <x:c r="AG98" s="12"/>
      <x:c r="AH98" s="12"/>
      <x:c r="AI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 t="str">
        <x:f>IF(OR(H99="",J99=""),"", "https://www.amazon.fr/dp/"&amp;H99&amp;"?tag="&amp;J99)</x:f>
      </x:c>
      <x:c r="L99" s="12"/>
      <x:c r="M99" s="36"/>
      <x:c r="N99" s="12"/>
      <x:c r="O99" s="12"/>
      <x:c r="P99" s="12"/>
      <x:c r="Q99" s="12"/>
      <x:c r="R99" s="12"/>
      <x:c r="S99" s="12"/>
      <x:c r="T99" s="12"/>
      <x:c r="U99" s="12" t="str">
        <x:f>IF(COUNTA(O99:T99)=0,"",SUM(O99:T99))</x:f>
      </x:c>
      <x:c r="V99" s="12" t="str">
        <x:f>IF(U99="","",IF(U99&gt;=95,"Exceptionnel",IF(U99&gt;=90,"Excellent",IF(U99&gt;=85,"Très bon",IF(U99&gt;=80,"Bon",IF(U99&gt;=70,"Correct","À revoir"))))))</x:f>
      </x:c>
      <x:c r="W99" s="12"/>
      <x:c r="X99" s="12"/>
      <x:c r="Y99" s="12"/>
      <x:c r="Z99" s="12"/>
      <x:c r="AA99" s="12"/>
      <x:c r="AB99" s="12"/>
      <x:c r="AC99" s="12"/>
      <x:c r="AD99" s="12"/>
      <x:c r="AE99" s="38"/>
      <x:c r="AF99" s="40"/>
      <x:c r="AG99" s="12"/>
      <x:c r="AH99" s="12"/>
      <x:c r="AI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 t="str">
        <x:f>IF(OR(H100="",J100=""),"", "https://www.amazon.fr/dp/"&amp;H100&amp;"?tag="&amp;J100)</x:f>
      </x:c>
      <x:c r="L100" s="12"/>
      <x:c r="M100" s="36"/>
      <x:c r="N100" s="12"/>
      <x:c r="O100" s="12"/>
      <x:c r="P100" s="12"/>
      <x:c r="Q100" s="12"/>
      <x:c r="R100" s="12"/>
      <x:c r="S100" s="12"/>
      <x:c r="T100" s="12"/>
      <x:c r="U100" s="12" t="str">
        <x:f>IF(COUNTA(O100:T100)=0,"",SUM(O100:T100))</x:f>
      </x:c>
      <x:c r="V100" s="12" t="str">
        <x:f>IF(U100="","",IF(U100&gt;=95,"Exceptionnel",IF(U100&gt;=90,"Excellent",IF(U100&gt;=85,"Très bon",IF(U100&gt;=80,"Bon",IF(U100&gt;=70,"Correct","À revoir"))))))</x:f>
      </x:c>
      <x:c r="W100" s="12"/>
      <x:c r="X100" s="12"/>
      <x:c r="Y100" s="12"/>
      <x:c r="Z100" s="12"/>
      <x:c r="AA100" s="12"/>
      <x:c r="AB100" s="12"/>
      <x:c r="AC100" s="12"/>
      <x:c r="AD100" s="12"/>
      <x:c r="AE100" s="38"/>
      <x:c r="AF100" s="40"/>
      <x:c r="AG100" s="12"/>
      <x:c r="AH100" s="12"/>
      <x:c r="AI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 t="str">
        <x:f>IF(OR(H101="",J101=""),"", "https://www.amazon.fr/dp/"&amp;H101&amp;"?tag="&amp;J101)</x:f>
      </x:c>
      <x:c r="L101" s="12"/>
      <x:c r="M101" s="36"/>
      <x:c r="N101" s="12"/>
      <x:c r="O101" s="12"/>
      <x:c r="P101" s="12"/>
      <x:c r="Q101" s="12"/>
      <x:c r="R101" s="12"/>
      <x:c r="S101" s="12"/>
      <x:c r="T101" s="12"/>
      <x:c r="U101" s="12" t="str">
        <x:f>IF(COUNTA(O101:T101)=0,"",SUM(O101:T101))</x:f>
      </x:c>
      <x:c r="V101" s="12" t="str">
        <x:f>IF(U101="","",IF(U101&gt;=95,"Exceptionnel",IF(U101&gt;=90,"Excellent",IF(U101&gt;=85,"Très bon",IF(U101&gt;=80,"Bon",IF(U101&gt;=70,"Correct","À revoir"))))))</x:f>
      </x:c>
      <x:c r="W101" s="12"/>
      <x:c r="X101" s="12"/>
      <x:c r="Y101" s="12"/>
      <x:c r="Z101" s="12"/>
      <x:c r="AA101" s="12"/>
      <x:c r="AB101" s="12"/>
      <x:c r="AC101" s="12"/>
      <x:c r="AD101" s="12"/>
      <x:c r="AE101" s="38"/>
      <x:c r="AF101" s="40"/>
      <x:c r="AG101" s="12"/>
      <x:c r="AH101" s="12"/>
      <x:c r="AI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 t="str">
        <x:f>IF(OR(H102="",J102=""),"", "https://www.amazon.fr/dp/"&amp;H102&amp;"?tag="&amp;J102)</x:f>
      </x:c>
      <x:c r="L102" s="12"/>
      <x:c r="M102" s="36"/>
      <x:c r="N102" s="12"/>
      <x:c r="O102" s="12"/>
      <x:c r="P102" s="12"/>
      <x:c r="Q102" s="12"/>
      <x:c r="R102" s="12"/>
      <x:c r="S102" s="12"/>
      <x:c r="T102" s="12"/>
      <x:c r="U102" s="12" t="str">
        <x:f>IF(COUNTA(O102:T102)=0,"",SUM(O102:T102))</x:f>
      </x:c>
      <x:c r="V102" s="12" t="str">
        <x:f>IF(U102="","",IF(U102&gt;=95,"Exceptionnel",IF(U102&gt;=90,"Excellent",IF(U102&gt;=85,"Très bon",IF(U102&gt;=80,"Bon",IF(U102&gt;=70,"Correct","À revoir"))))))</x:f>
      </x:c>
      <x:c r="W102" s="12"/>
      <x:c r="X102" s="12"/>
      <x:c r="Y102" s="12"/>
      <x:c r="Z102" s="12"/>
      <x:c r="AA102" s="12"/>
      <x:c r="AB102" s="12"/>
      <x:c r="AC102" s="12"/>
      <x:c r="AD102" s="12"/>
      <x:c r="AE102" s="38"/>
      <x:c r="AF102" s="40"/>
      <x:c r="AG102" s="12"/>
      <x:c r="AH102" s="12"/>
      <x:c r="AI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 t="str">
        <x:f>IF(OR(H103="",J103=""),"", "https://www.amazon.fr/dp/"&amp;H103&amp;"?tag="&amp;J103)</x:f>
      </x:c>
      <x:c r="L103" s="12"/>
      <x:c r="M103" s="36"/>
      <x:c r="N103" s="12"/>
      <x:c r="O103" s="12"/>
      <x:c r="P103" s="12"/>
      <x:c r="Q103" s="12"/>
      <x:c r="R103" s="12"/>
      <x:c r="S103" s="12"/>
      <x:c r="T103" s="12"/>
      <x:c r="U103" s="12" t="str">
        <x:f>IF(COUNTA(O103:T103)=0,"",SUM(O103:T103))</x:f>
      </x:c>
      <x:c r="V103" s="12" t="str">
        <x:f>IF(U103="","",IF(U103&gt;=95,"Exceptionnel",IF(U103&gt;=90,"Excellent",IF(U103&gt;=85,"Très bon",IF(U103&gt;=80,"Bon",IF(U103&gt;=70,"Correct","À revoir"))))))</x:f>
      </x:c>
      <x:c r="W103" s="12"/>
      <x:c r="X103" s="12"/>
      <x:c r="Y103" s="12"/>
      <x:c r="Z103" s="12"/>
      <x:c r="AA103" s="12"/>
      <x:c r="AB103" s="12"/>
      <x:c r="AC103" s="12"/>
      <x:c r="AD103" s="12"/>
      <x:c r="AE103" s="38"/>
      <x:c r="AF103" s="40"/>
      <x:c r="AG103" s="12"/>
      <x:c r="AH103" s="12"/>
      <x:c r="AI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 t="str">
        <x:f>IF(OR(H104="",J104=""),"", "https://www.amazon.fr/dp/"&amp;H104&amp;"?tag="&amp;J104)</x:f>
      </x:c>
      <x:c r="L104" s="12"/>
      <x:c r="M104" s="36"/>
      <x:c r="N104" s="12"/>
      <x:c r="O104" s="12"/>
      <x:c r="P104" s="12"/>
      <x:c r="Q104" s="12"/>
      <x:c r="R104" s="12"/>
      <x:c r="S104" s="12"/>
      <x:c r="T104" s="12"/>
      <x:c r="U104" s="12" t="str">
        <x:f>IF(COUNTA(O104:T104)=0,"",SUM(O104:T104))</x:f>
      </x:c>
      <x:c r="V104" s="12" t="str">
        <x:f>IF(U104="","",IF(U104&gt;=95,"Exceptionnel",IF(U104&gt;=90,"Excellent",IF(U104&gt;=85,"Très bon",IF(U104&gt;=80,"Bon",IF(U104&gt;=70,"Correct","À revoir"))))))</x:f>
      </x:c>
      <x:c r="W104" s="12"/>
      <x:c r="X104" s="12"/>
      <x:c r="Y104" s="12"/>
      <x:c r="Z104" s="12"/>
      <x:c r="AA104" s="12"/>
      <x:c r="AB104" s="12"/>
      <x:c r="AC104" s="12"/>
      <x:c r="AD104" s="12"/>
      <x:c r="AE104" s="38"/>
      <x:c r="AF104" s="40"/>
      <x:c r="AG104" s="12"/>
      <x:c r="AH104" s="12"/>
      <x:c r="AI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 t="str">
        <x:f>IF(OR(H105="",J105=""),"", "https://www.amazon.fr/dp/"&amp;H105&amp;"?tag="&amp;J105)</x:f>
      </x:c>
      <x:c r="L105" s="12"/>
      <x:c r="M105" s="36"/>
      <x:c r="N105" s="12"/>
      <x:c r="O105" s="12"/>
      <x:c r="P105" s="12"/>
      <x:c r="Q105" s="12"/>
      <x:c r="R105" s="12"/>
      <x:c r="S105" s="12"/>
      <x:c r="T105" s="12"/>
      <x:c r="U105" s="12" t="str">
        <x:f>IF(COUNTA(O105:T105)=0,"",SUM(O105:T105))</x:f>
      </x:c>
      <x:c r="V105" s="12" t="str">
        <x:f>IF(U105="","",IF(U105&gt;=95,"Exceptionnel",IF(U105&gt;=90,"Excellent",IF(U105&gt;=85,"Très bon",IF(U105&gt;=80,"Bon",IF(U105&gt;=70,"Correct","À revoir"))))))</x:f>
      </x:c>
      <x:c r="W105" s="12"/>
      <x:c r="X105" s="12"/>
      <x:c r="Y105" s="12"/>
      <x:c r="Z105" s="12"/>
      <x:c r="AA105" s="12"/>
      <x:c r="AB105" s="12"/>
      <x:c r="AC105" s="12"/>
      <x:c r="AD105" s="12"/>
      <x:c r="AE105" s="38"/>
      <x:c r="AF105" s="40"/>
      <x:c r="AG105" s="12"/>
      <x:c r="AH105" s="12"/>
      <x:c r="AI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 t="str">
        <x:f>IF(OR(H106="",J106=""),"", "https://www.amazon.fr/dp/"&amp;H106&amp;"?tag="&amp;J106)</x:f>
      </x:c>
      <x:c r="L106" s="12"/>
      <x:c r="M106" s="36"/>
      <x:c r="N106" s="12"/>
      <x:c r="O106" s="12"/>
      <x:c r="P106" s="12"/>
      <x:c r="Q106" s="12"/>
      <x:c r="R106" s="12"/>
      <x:c r="S106" s="12"/>
      <x:c r="T106" s="12"/>
      <x:c r="U106" s="12" t="str">
        <x:f>IF(COUNTA(O106:T106)=0,"",SUM(O106:T106))</x:f>
      </x:c>
      <x:c r="V106" s="12" t="str">
        <x:f>IF(U106="","",IF(U106&gt;=95,"Exceptionnel",IF(U106&gt;=90,"Excellent",IF(U106&gt;=85,"Très bon",IF(U106&gt;=80,"Bon",IF(U106&gt;=70,"Correct","À revoir"))))))</x:f>
      </x:c>
      <x:c r="W106" s="12"/>
      <x:c r="X106" s="12"/>
      <x:c r="Y106" s="12"/>
      <x:c r="Z106" s="12"/>
      <x:c r="AA106" s="12"/>
      <x:c r="AB106" s="12"/>
      <x:c r="AC106" s="12"/>
      <x:c r="AD106" s="12"/>
      <x:c r="AE106" s="38"/>
      <x:c r="AF106" s="40"/>
      <x:c r="AG106" s="12"/>
      <x:c r="AH106" s="12"/>
      <x:c r="AI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 t="str">
        <x:f>IF(OR(H107="",J107=""),"", "https://www.amazon.fr/dp/"&amp;H107&amp;"?tag="&amp;J107)</x:f>
      </x:c>
      <x:c r="L107" s="12"/>
      <x:c r="M107" s="36"/>
      <x:c r="N107" s="12"/>
      <x:c r="O107" s="12"/>
      <x:c r="P107" s="12"/>
      <x:c r="Q107" s="12"/>
      <x:c r="R107" s="12"/>
      <x:c r="S107" s="12"/>
      <x:c r="T107" s="12"/>
      <x:c r="U107" s="12" t="str">
        <x:f>IF(COUNTA(O107:T107)=0,"",SUM(O107:T107))</x:f>
      </x:c>
      <x:c r="V107" s="12" t="str">
        <x:f>IF(U107="","",IF(U107&gt;=95,"Exceptionnel",IF(U107&gt;=90,"Excellent",IF(U107&gt;=85,"Très bon",IF(U107&gt;=80,"Bon",IF(U107&gt;=70,"Correct","À revoir"))))))</x:f>
      </x:c>
      <x:c r="W107" s="12"/>
      <x:c r="X107" s="12"/>
      <x:c r="Y107" s="12"/>
      <x:c r="Z107" s="12"/>
      <x:c r="AA107" s="12"/>
      <x:c r="AB107" s="12"/>
      <x:c r="AC107" s="12"/>
      <x:c r="AD107" s="12"/>
      <x:c r="AE107" s="38"/>
      <x:c r="AF107" s="40"/>
      <x:c r="AG107" s="12"/>
      <x:c r="AH107" s="12"/>
      <x:c r="AI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 t="str">
        <x:f>IF(OR(H108="",J108=""),"", "https://www.amazon.fr/dp/"&amp;H108&amp;"?tag="&amp;J108)</x:f>
      </x:c>
      <x:c r="L108" s="12"/>
      <x:c r="M108" s="36"/>
      <x:c r="N108" s="12"/>
      <x:c r="O108" s="12"/>
      <x:c r="P108" s="12"/>
      <x:c r="Q108" s="12"/>
      <x:c r="R108" s="12"/>
      <x:c r="S108" s="12"/>
      <x:c r="T108" s="12"/>
      <x:c r="U108" s="12" t="str">
        <x:f>IF(COUNTA(O108:T108)=0,"",SUM(O108:T108))</x:f>
      </x:c>
      <x:c r="V108" s="12" t="str">
        <x:f>IF(U108="","",IF(U108&gt;=95,"Exceptionnel",IF(U108&gt;=90,"Excellent",IF(U108&gt;=85,"Très bon",IF(U108&gt;=80,"Bon",IF(U108&gt;=70,"Correct","À revoir"))))))</x:f>
      </x:c>
      <x:c r="W108" s="12"/>
      <x:c r="X108" s="12"/>
      <x:c r="Y108" s="12"/>
      <x:c r="Z108" s="12"/>
      <x:c r="AA108" s="12"/>
      <x:c r="AB108" s="12"/>
      <x:c r="AC108" s="12"/>
      <x:c r="AD108" s="12"/>
      <x:c r="AE108" s="38"/>
      <x:c r="AF108" s="40"/>
      <x:c r="AG108" s="12"/>
      <x:c r="AH108" s="12"/>
      <x:c r="AI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 t="str">
        <x:f>IF(OR(H109="",J109=""),"", "https://www.amazon.fr/dp/"&amp;H109&amp;"?tag="&amp;J109)</x:f>
      </x:c>
      <x:c r="L109" s="12"/>
      <x:c r="M109" s="36"/>
      <x:c r="N109" s="12"/>
      <x:c r="O109" s="12"/>
      <x:c r="P109" s="12"/>
      <x:c r="Q109" s="12"/>
      <x:c r="R109" s="12"/>
      <x:c r="S109" s="12"/>
      <x:c r="T109" s="12"/>
      <x:c r="U109" s="12" t="str">
        <x:f>IF(COUNTA(O109:T109)=0,"",SUM(O109:T109))</x:f>
      </x:c>
      <x:c r="V109" s="12" t="str">
        <x:f>IF(U109="","",IF(U109&gt;=95,"Exceptionnel",IF(U109&gt;=90,"Excellent",IF(U109&gt;=85,"Très bon",IF(U109&gt;=80,"Bon",IF(U109&gt;=70,"Correct","À revoir"))))))</x:f>
      </x:c>
      <x:c r="W109" s="12"/>
      <x:c r="X109" s="12"/>
      <x:c r="Y109" s="12"/>
      <x:c r="Z109" s="12"/>
      <x:c r="AA109" s="12"/>
      <x:c r="AB109" s="12"/>
      <x:c r="AC109" s="12"/>
      <x:c r="AD109" s="12"/>
      <x:c r="AE109" s="38"/>
      <x:c r="AF109" s="40"/>
      <x:c r="AG109" s="12"/>
      <x:c r="AH109" s="12"/>
      <x:c r="AI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 t="str">
        <x:f>IF(OR(H110="",J110=""),"", "https://www.amazon.fr/dp/"&amp;H110&amp;"?tag="&amp;J110)</x:f>
      </x:c>
      <x:c r="L110" s="12"/>
      <x:c r="M110" s="36"/>
      <x:c r="N110" s="12"/>
      <x:c r="O110" s="12"/>
      <x:c r="P110" s="12"/>
      <x:c r="Q110" s="12"/>
      <x:c r="R110" s="12"/>
      <x:c r="S110" s="12"/>
      <x:c r="T110" s="12"/>
      <x:c r="U110" s="12" t="str">
        <x:f>IF(COUNTA(O110:T110)=0,"",SUM(O110:T110))</x:f>
      </x:c>
      <x:c r="V110" s="12" t="str">
        <x:f>IF(U110="","",IF(U110&gt;=95,"Exceptionnel",IF(U110&gt;=90,"Excellent",IF(U110&gt;=85,"Très bon",IF(U110&gt;=80,"Bon",IF(U110&gt;=70,"Correct","À revoir"))))))</x:f>
      </x:c>
      <x:c r="W110" s="12"/>
      <x:c r="X110" s="12"/>
      <x:c r="Y110" s="12"/>
      <x:c r="Z110" s="12"/>
      <x:c r="AA110" s="12"/>
      <x:c r="AB110" s="12"/>
      <x:c r="AC110" s="12"/>
      <x:c r="AD110" s="12"/>
      <x:c r="AE110" s="38"/>
      <x:c r="AF110" s="40"/>
      <x:c r="AG110" s="12"/>
      <x:c r="AH110" s="12"/>
      <x:c r="AI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 t="str">
        <x:f>IF(OR(H111="",J111=""),"", "https://www.amazon.fr/dp/"&amp;H111&amp;"?tag="&amp;J111)</x:f>
      </x:c>
      <x:c r="L111" s="12"/>
      <x:c r="M111" s="36"/>
      <x:c r="N111" s="12"/>
      <x:c r="O111" s="12"/>
      <x:c r="P111" s="12"/>
      <x:c r="Q111" s="12"/>
      <x:c r="R111" s="12"/>
      <x:c r="S111" s="12"/>
      <x:c r="T111" s="12"/>
      <x:c r="U111" s="12" t="str">
        <x:f>IF(COUNTA(O111:T111)=0,"",SUM(O111:T111))</x:f>
      </x:c>
      <x:c r="V111" s="12" t="str">
        <x:f>IF(U111="","",IF(U111&gt;=95,"Exceptionnel",IF(U111&gt;=90,"Excellent",IF(U111&gt;=85,"Très bon",IF(U111&gt;=80,"Bon",IF(U111&gt;=70,"Correct","À revoir"))))))</x:f>
      </x:c>
      <x:c r="W111" s="12"/>
      <x:c r="X111" s="12"/>
      <x:c r="Y111" s="12"/>
      <x:c r="Z111" s="12"/>
      <x:c r="AA111" s="12"/>
      <x:c r="AB111" s="12"/>
      <x:c r="AC111" s="12"/>
      <x:c r="AD111" s="12"/>
      <x:c r="AE111" s="38"/>
      <x:c r="AF111" s="40"/>
      <x:c r="AG111" s="12"/>
      <x:c r="AH111" s="12"/>
      <x:c r="AI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 t="str">
        <x:f>IF(OR(H112="",J112=""),"", "https://www.amazon.fr/dp/"&amp;H112&amp;"?tag="&amp;J112)</x:f>
      </x:c>
      <x:c r="L112" s="12"/>
      <x:c r="M112" s="36"/>
      <x:c r="N112" s="12"/>
      <x:c r="O112" s="12"/>
      <x:c r="P112" s="12"/>
      <x:c r="Q112" s="12"/>
      <x:c r="R112" s="12"/>
      <x:c r="S112" s="12"/>
      <x:c r="T112" s="12"/>
      <x:c r="U112" s="12" t="str">
        <x:f>IF(COUNTA(O112:T112)=0,"",SUM(O112:T112))</x:f>
      </x:c>
      <x:c r="V112" s="12" t="str">
        <x:f>IF(U112="","",IF(U112&gt;=95,"Exceptionnel",IF(U112&gt;=90,"Excellent",IF(U112&gt;=85,"Très bon",IF(U112&gt;=80,"Bon",IF(U112&gt;=70,"Correct","À revoir"))))))</x:f>
      </x:c>
      <x:c r="W112" s="12"/>
      <x:c r="X112" s="12"/>
      <x:c r="Y112" s="12"/>
      <x:c r="Z112" s="12"/>
      <x:c r="AA112" s="12"/>
      <x:c r="AB112" s="12"/>
      <x:c r="AC112" s="12"/>
      <x:c r="AD112" s="12"/>
      <x:c r="AE112" s="38"/>
      <x:c r="AF112" s="40"/>
      <x:c r="AG112" s="12"/>
      <x:c r="AH112" s="12"/>
      <x:c r="AI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 t="str">
        <x:f>IF(OR(H113="",J113=""),"", "https://www.amazon.fr/dp/"&amp;H113&amp;"?tag="&amp;J113)</x:f>
      </x:c>
      <x:c r="L113" s="12"/>
      <x:c r="M113" s="36"/>
      <x:c r="N113" s="12"/>
      <x:c r="O113" s="12"/>
      <x:c r="P113" s="12"/>
      <x:c r="Q113" s="12"/>
      <x:c r="R113" s="12"/>
      <x:c r="S113" s="12"/>
      <x:c r="T113" s="12"/>
      <x:c r="U113" s="12" t="str">
        <x:f>IF(COUNTA(O113:T113)=0,"",SUM(O113:T113))</x:f>
      </x:c>
      <x:c r="V113" s="12" t="str">
        <x:f>IF(U113="","",IF(U113&gt;=95,"Exceptionnel",IF(U113&gt;=90,"Excellent",IF(U113&gt;=85,"Très bon",IF(U113&gt;=80,"Bon",IF(U113&gt;=70,"Correct","À revoir"))))))</x:f>
      </x:c>
      <x:c r="W113" s="12"/>
      <x:c r="X113" s="12"/>
      <x:c r="Y113" s="12"/>
      <x:c r="Z113" s="12"/>
      <x:c r="AA113" s="12"/>
      <x:c r="AB113" s="12"/>
      <x:c r="AC113" s="12"/>
      <x:c r="AD113" s="12"/>
      <x:c r="AE113" s="38"/>
      <x:c r="AF113" s="40"/>
      <x:c r="AG113" s="12"/>
      <x:c r="AH113" s="12"/>
      <x:c r="AI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 t="str">
        <x:f>IF(OR(H114="",J114=""),"", "https://www.amazon.fr/dp/"&amp;H114&amp;"?tag="&amp;J114)</x:f>
      </x:c>
      <x:c r="L114" s="12"/>
      <x:c r="M114" s="36"/>
      <x:c r="N114" s="12"/>
      <x:c r="O114" s="12"/>
      <x:c r="P114" s="12"/>
      <x:c r="Q114" s="12"/>
      <x:c r="R114" s="12"/>
      <x:c r="S114" s="12"/>
      <x:c r="T114" s="12"/>
      <x:c r="U114" s="12" t="str">
        <x:f>IF(COUNTA(O114:T114)=0,"",SUM(O114:T114))</x:f>
      </x:c>
      <x:c r="V114" s="12" t="str">
        <x:f>IF(U114="","",IF(U114&gt;=95,"Exceptionnel",IF(U114&gt;=90,"Excellent",IF(U114&gt;=85,"Très bon",IF(U114&gt;=80,"Bon",IF(U114&gt;=70,"Correct","À revoir"))))))</x:f>
      </x:c>
      <x:c r="W114" s="12"/>
      <x:c r="X114" s="12"/>
      <x:c r="Y114" s="12"/>
      <x:c r="Z114" s="12"/>
      <x:c r="AA114" s="12"/>
      <x:c r="AB114" s="12"/>
      <x:c r="AC114" s="12"/>
      <x:c r="AD114" s="12"/>
      <x:c r="AE114" s="38"/>
      <x:c r="AF114" s="40"/>
      <x:c r="AG114" s="12"/>
      <x:c r="AH114" s="12"/>
      <x:c r="AI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 t="str">
        <x:f>IF(OR(H115="",J115=""),"", "https://www.amazon.fr/dp/"&amp;H115&amp;"?tag="&amp;J115)</x:f>
      </x:c>
      <x:c r="L115" s="12"/>
      <x:c r="M115" s="36"/>
      <x:c r="N115" s="12"/>
      <x:c r="O115" s="12"/>
      <x:c r="P115" s="12"/>
      <x:c r="Q115" s="12"/>
      <x:c r="R115" s="12"/>
      <x:c r="S115" s="12"/>
      <x:c r="T115" s="12"/>
      <x:c r="U115" s="12" t="str">
        <x:f>IF(COUNTA(O115:T115)=0,"",SUM(O115:T115))</x:f>
      </x:c>
      <x:c r="V115" s="12" t="str">
        <x:f>IF(U115="","",IF(U115&gt;=95,"Exceptionnel",IF(U115&gt;=90,"Excellent",IF(U115&gt;=85,"Très bon",IF(U115&gt;=80,"Bon",IF(U115&gt;=70,"Correct","À revoir"))))))</x:f>
      </x:c>
      <x:c r="W115" s="12"/>
      <x:c r="X115" s="12"/>
      <x:c r="Y115" s="12"/>
      <x:c r="Z115" s="12"/>
      <x:c r="AA115" s="12"/>
      <x:c r="AB115" s="12"/>
      <x:c r="AC115" s="12"/>
      <x:c r="AD115" s="12"/>
      <x:c r="AE115" s="38"/>
      <x:c r="AF115" s="40"/>
      <x:c r="AG115" s="12"/>
      <x:c r="AH115" s="12"/>
      <x:c r="AI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 t="str">
        <x:f>IF(OR(H116="",J116=""),"", "https://www.amazon.fr/dp/"&amp;H116&amp;"?tag="&amp;J116)</x:f>
      </x:c>
      <x:c r="L116" s="12"/>
      <x:c r="M116" s="36"/>
      <x:c r="N116" s="12"/>
      <x:c r="O116" s="12"/>
      <x:c r="P116" s="12"/>
      <x:c r="Q116" s="12"/>
      <x:c r="R116" s="12"/>
      <x:c r="S116" s="12"/>
      <x:c r="T116" s="12"/>
      <x:c r="U116" s="12" t="str">
        <x:f>IF(COUNTA(O116:T116)=0,"",SUM(O116:T116))</x:f>
      </x:c>
      <x:c r="V116" s="12" t="str">
        <x:f>IF(U116="","",IF(U116&gt;=95,"Exceptionnel",IF(U116&gt;=90,"Excellent",IF(U116&gt;=85,"Très bon",IF(U116&gt;=80,"Bon",IF(U116&gt;=70,"Correct","À revoir"))))))</x:f>
      </x:c>
      <x:c r="W116" s="12"/>
      <x:c r="X116" s="12"/>
      <x:c r="Y116" s="12"/>
      <x:c r="Z116" s="12"/>
      <x:c r="AA116" s="12"/>
      <x:c r="AB116" s="12"/>
      <x:c r="AC116" s="12"/>
      <x:c r="AD116" s="12"/>
      <x:c r="AE116" s="38"/>
      <x:c r="AF116" s="40"/>
      <x:c r="AG116" s="12"/>
      <x:c r="AH116" s="12"/>
      <x:c r="AI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 t="str">
        <x:f>IF(OR(H117="",J117=""),"", "https://www.amazon.fr/dp/"&amp;H117&amp;"?tag="&amp;J117)</x:f>
      </x:c>
      <x:c r="L117" s="12"/>
      <x:c r="M117" s="36"/>
      <x:c r="N117" s="12"/>
      <x:c r="O117" s="12"/>
      <x:c r="P117" s="12"/>
      <x:c r="Q117" s="12"/>
      <x:c r="R117" s="12"/>
      <x:c r="S117" s="12"/>
      <x:c r="T117" s="12"/>
      <x:c r="U117" s="12" t="str">
        <x:f>IF(COUNTA(O117:T117)=0,"",SUM(O117:T117))</x:f>
      </x:c>
      <x:c r="V117" s="12" t="str">
        <x:f>IF(U117="","",IF(U117&gt;=95,"Exceptionnel",IF(U117&gt;=90,"Excellent",IF(U117&gt;=85,"Très bon",IF(U117&gt;=80,"Bon",IF(U117&gt;=70,"Correct","À revoir"))))))</x:f>
      </x:c>
      <x:c r="W117" s="12"/>
      <x:c r="X117" s="12"/>
      <x:c r="Y117" s="12"/>
      <x:c r="Z117" s="12"/>
      <x:c r="AA117" s="12"/>
      <x:c r="AB117" s="12"/>
      <x:c r="AC117" s="12"/>
      <x:c r="AD117" s="12"/>
      <x:c r="AE117" s="38"/>
      <x:c r="AF117" s="40"/>
      <x:c r="AG117" s="12"/>
      <x:c r="AH117" s="12"/>
      <x:c r="AI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 t="str">
        <x:f>IF(OR(H118="",J118=""),"", "https://www.amazon.fr/dp/"&amp;H118&amp;"?tag="&amp;J118)</x:f>
      </x:c>
      <x:c r="L118" s="12"/>
      <x:c r="M118" s="36"/>
      <x:c r="N118" s="12"/>
      <x:c r="O118" s="12"/>
      <x:c r="P118" s="12"/>
      <x:c r="Q118" s="12"/>
      <x:c r="R118" s="12"/>
      <x:c r="S118" s="12"/>
      <x:c r="T118" s="12"/>
      <x:c r="U118" s="12" t="str">
        <x:f>IF(COUNTA(O118:T118)=0,"",SUM(O118:T118))</x:f>
      </x:c>
      <x:c r="V118" s="12" t="str">
        <x:f>IF(U118="","",IF(U118&gt;=95,"Exceptionnel",IF(U118&gt;=90,"Excellent",IF(U118&gt;=85,"Très bon",IF(U118&gt;=80,"Bon",IF(U118&gt;=70,"Correct","À revoir"))))))</x:f>
      </x:c>
      <x:c r="W118" s="12"/>
      <x:c r="X118" s="12"/>
      <x:c r="Y118" s="12"/>
      <x:c r="Z118" s="12"/>
      <x:c r="AA118" s="12"/>
      <x:c r="AB118" s="12"/>
      <x:c r="AC118" s="12"/>
      <x:c r="AD118" s="12"/>
      <x:c r="AE118" s="38"/>
      <x:c r="AF118" s="40"/>
      <x:c r="AG118" s="12"/>
      <x:c r="AH118" s="12"/>
      <x:c r="AI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 t="str">
        <x:f>IF(OR(H119="",J119=""),"", "https://www.amazon.fr/dp/"&amp;H119&amp;"?tag="&amp;J119)</x:f>
      </x:c>
      <x:c r="L119" s="12"/>
      <x:c r="M119" s="36"/>
      <x:c r="N119" s="12"/>
      <x:c r="O119" s="12"/>
      <x:c r="P119" s="12"/>
      <x:c r="Q119" s="12"/>
      <x:c r="R119" s="12"/>
      <x:c r="S119" s="12"/>
      <x:c r="T119" s="12"/>
      <x:c r="U119" s="12" t="str">
        <x:f>IF(COUNTA(O119:T119)=0,"",SUM(O119:T119))</x:f>
      </x:c>
      <x:c r="V119" s="12" t="str">
        <x:f>IF(U119="","",IF(U119&gt;=95,"Exceptionnel",IF(U119&gt;=90,"Excellent",IF(U119&gt;=85,"Très bon",IF(U119&gt;=80,"Bon",IF(U119&gt;=70,"Correct","À revoir"))))))</x:f>
      </x:c>
      <x:c r="W119" s="12"/>
      <x:c r="X119" s="12"/>
      <x:c r="Y119" s="12"/>
      <x:c r="Z119" s="12"/>
      <x:c r="AA119" s="12"/>
      <x:c r="AB119" s="12"/>
      <x:c r="AC119" s="12"/>
      <x:c r="AD119" s="12"/>
      <x:c r="AE119" s="38"/>
      <x:c r="AF119" s="40"/>
      <x:c r="AG119" s="12"/>
      <x:c r="AH119" s="12"/>
      <x:c r="AI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 t="str">
        <x:f>IF(OR(H120="",J120=""),"", "https://www.amazon.fr/dp/"&amp;H120&amp;"?tag="&amp;J120)</x:f>
      </x:c>
      <x:c r="L120" s="12"/>
      <x:c r="M120" s="36"/>
      <x:c r="N120" s="12"/>
      <x:c r="O120" s="12"/>
      <x:c r="P120" s="12"/>
      <x:c r="Q120" s="12"/>
      <x:c r="R120" s="12"/>
      <x:c r="S120" s="12"/>
      <x:c r="T120" s="12"/>
      <x:c r="U120" s="12" t="str">
        <x:f>IF(COUNTA(O120:T120)=0,"",SUM(O120:T120))</x:f>
      </x:c>
      <x:c r="V120" s="12" t="str">
        <x:f>IF(U120="","",IF(U120&gt;=95,"Exceptionnel",IF(U120&gt;=90,"Excellent",IF(U120&gt;=85,"Très bon",IF(U120&gt;=80,"Bon",IF(U120&gt;=70,"Correct","À revoir"))))))</x:f>
      </x:c>
      <x:c r="W120" s="12"/>
      <x:c r="X120" s="12"/>
      <x:c r="Y120" s="12"/>
      <x:c r="Z120" s="12"/>
      <x:c r="AA120" s="12"/>
      <x:c r="AB120" s="12"/>
      <x:c r="AC120" s="12"/>
      <x:c r="AD120" s="12"/>
      <x:c r="AE120" s="38"/>
      <x:c r="AF120" s="40"/>
      <x:c r="AG120" s="12"/>
      <x:c r="AH120" s="12"/>
      <x:c r="AI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 t="str">
        <x:f>IF(OR(H121="",J121=""),"", "https://www.amazon.fr/dp/"&amp;H121&amp;"?tag="&amp;J121)</x:f>
      </x:c>
      <x:c r="L121" s="12"/>
      <x:c r="M121" s="36"/>
      <x:c r="N121" s="12"/>
      <x:c r="O121" s="12"/>
      <x:c r="P121" s="12"/>
      <x:c r="Q121" s="12"/>
      <x:c r="R121" s="12"/>
      <x:c r="S121" s="12"/>
      <x:c r="T121" s="12"/>
      <x:c r="U121" s="12" t="str">
        <x:f>IF(COUNTA(O121:T121)=0,"",SUM(O121:T121))</x:f>
      </x:c>
      <x:c r="V121" s="12" t="str">
        <x:f>IF(U121="","",IF(U121&gt;=95,"Exceptionnel",IF(U121&gt;=90,"Excellent",IF(U121&gt;=85,"Très bon",IF(U121&gt;=80,"Bon",IF(U121&gt;=70,"Correct","À revoir"))))))</x:f>
      </x:c>
      <x:c r="W121" s="12"/>
      <x:c r="X121" s="12"/>
      <x:c r="Y121" s="12"/>
      <x:c r="Z121" s="12"/>
      <x:c r="AA121" s="12"/>
      <x:c r="AB121" s="12"/>
      <x:c r="AC121" s="12"/>
      <x:c r="AD121" s="12"/>
      <x:c r="AE121" s="38"/>
      <x:c r="AF121" s="40"/>
      <x:c r="AG121" s="12"/>
      <x:c r="AH121" s="12"/>
      <x:c r="AI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 t="str">
        <x:f>IF(OR(H122="",J122=""),"", "https://www.amazon.fr/dp/"&amp;H122&amp;"?tag="&amp;J122)</x:f>
      </x:c>
      <x:c r="L122" s="12"/>
      <x:c r="M122" s="36"/>
      <x:c r="N122" s="12"/>
      <x:c r="O122" s="12"/>
      <x:c r="P122" s="12"/>
      <x:c r="Q122" s="12"/>
      <x:c r="R122" s="12"/>
      <x:c r="S122" s="12"/>
      <x:c r="T122" s="12"/>
      <x:c r="U122" s="12" t="str">
        <x:f>IF(COUNTA(O122:T122)=0,"",SUM(O122:T122))</x:f>
      </x:c>
      <x:c r="V122" s="12" t="str">
        <x:f>IF(U122="","",IF(U122&gt;=95,"Exceptionnel",IF(U122&gt;=90,"Excellent",IF(U122&gt;=85,"Très bon",IF(U122&gt;=80,"Bon",IF(U122&gt;=70,"Correct","À revoir"))))))</x:f>
      </x:c>
      <x:c r="W122" s="12"/>
      <x:c r="X122" s="12"/>
      <x:c r="Y122" s="12"/>
      <x:c r="Z122" s="12"/>
      <x:c r="AA122" s="12"/>
      <x:c r="AB122" s="12"/>
      <x:c r="AC122" s="12"/>
      <x:c r="AD122" s="12"/>
      <x:c r="AE122" s="38"/>
      <x:c r="AF122" s="40"/>
      <x:c r="AG122" s="12"/>
      <x:c r="AH122" s="12"/>
      <x:c r="AI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 t="str">
        <x:f>IF(OR(H123="",J123=""),"", "https://www.amazon.fr/dp/"&amp;H123&amp;"?tag="&amp;J123)</x:f>
      </x:c>
      <x:c r="L123" s="12"/>
      <x:c r="M123" s="36"/>
      <x:c r="N123" s="12"/>
      <x:c r="O123" s="12"/>
      <x:c r="P123" s="12"/>
      <x:c r="Q123" s="12"/>
      <x:c r="R123" s="12"/>
      <x:c r="S123" s="12"/>
      <x:c r="T123" s="12"/>
      <x:c r="U123" s="12" t="str">
        <x:f>IF(COUNTA(O123:T123)=0,"",SUM(O123:T123))</x:f>
      </x:c>
      <x:c r="V123" s="12" t="str">
        <x:f>IF(U123="","",IF(U123&gt;=95,"Exceptionnel",IF(U123&gt;=90,"Excellent",IF(U123&gt;=85,"Très bon",IF(U123&gt;=80,"Bon",IF(U123&gt;=70,"Correct","À revoir"))))))</x:f>
      </x:c>
      <x:c r="W123" s="12"/>
      <x:c r="X123" s="12"/>
      <x:c r="Y123" s="12"/>
      <x:c r="Z123" s="12"/>
      <x:c r="AA123" s="12"/>
      <x:c r="AB123" s="12"/>
      <x:c r="AC123" s="12"/>
      <x:c r="AD123" s="12"/>
      <x:c r="AE123" s="38"/>
      <x:c r="AF123" s="40"/>
      <x:c r="AG123" s="12"/>
      <x:c r="AH123" s="12"/>
      <x:c r="AI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 t="str">
        <x:f>IF(OR(H124="",J124=""),"", "https://www.amazon.fr/dp/"&amp;H124&amp;"?tag="&amp;J124)</x:f>
      </x:c>
      <x:c r="L124" s="12"/>
      <x:c r="M124" s="36"/>
      <x:c r="N124" s="12"/>
      <x:c r="O124" s="12"/>
      <x:c r="P124" s="12"/>
      <x:c r="Q124" s="12"/>
      <x:c r="R124" s="12"/>
      <x:c r="S124" s="12"/>
      <x:c r="T124" s="12"/>
      <x:c r="U124" s="12" t="str">
        <x:f>IF(COUNTA(O124:T124)=0,"",SUM(O124:T124))</x:f>
      </x:c>
      <x:c r="V124" s="12" t="str">
        <x:f>IF(U124="","",IF(U124&gt;=95,"Exceptionnel",IF(U124&gt;=90,"Excellent",IF(U124&gt;=85,"Très bon",IF(U124&gt;=80,"Bon",IF(U124&gt;=70,"Correct","À revoir"))))))</x:f>
      </x:c>
      <x:c r="W124" s="12"/>
      <x:c r="X124" s="12"/>
      <x:c r="Y124" s="12"/>
      <x:c r="Z124" s="12"/>
      <x:c r="AA124" s="12"/>
      <x:c r="AB124" s="12"/>
      <x:c r="AC124" s="12"/>
      <x:c r="AD124" s="12"/>
      <x:c r="AE124" s="38"/>
      <x:c r="AF124" s="40"/>
      <x:c r="AG124" s="12"/>
      <x:c r="AH124" s="12"/>
      <x:c r="AI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 t="str">
        <x:f>IF(OR(H125="",J125=""),"", "https://www.amazon.fr/dp/"&amp;H125&amp;"?tag="&amp;J125)</x:f>
      </x:c>
      <x:c r="L125" s="12"/>
      <x:c r="M125" s="36"/>
      <x:c r="N125" s="12"/>
      <x:c r="O125" s="12"/>
      <x:c r="P125" s="12"/>
      <x:c r="Q125" s="12"/>
      <x:c r="R125" s="12"/>
      <x:c r="S125" s="12"/>
      <x:c r="T125" s="12"/>
      <x:c r="U125" s="12" t="str">
        <x:f>IF(COUNTA(O125:T125)=0,"",SUM(O125:T125))</x:f>
      </x:c>
      <x:c r="V125" s="12" t="str">
        <x:f>IF(U125="","",IF(U125&gt;=95,"Exceptionnel",IF(U125&gt;=90,"Excellent",IF(U125&gt;=85,"Très bon",IF(U125&gt;=80,"Bon",IF(U125&gt;=70,"Correct","À revoir"))))))</x:f>
      </x:c>
      <x:c r="W125" s="12"/>
      <x:c r="X125" s="12"/>
      <x:c r="Y125" s="12"/>
      <x:c r="Z125" s="12"/>
      <x:c r="AA125" s="12"/>
      <x:c r="AB125" s="12"/>
      <x:c r="AC125" s="12"/>
      <x:c r="AD125" s="12"/>
      <x:c r="AE125" s="38"/>
      <x:c r="AF125" s="40"/>
      <x:c r="AG125" s="12"/>
      <x:c r="AH125" s="12"/>
      <x:c r="AI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 t="str">
        <x:f>IF(OR(H126="",J126=""),"", "https://www.amazon.fr/dp/"&amp;H126&amp;"?tag="&amp;J126)</x:f>
      </x:c>
      <x:c r="L126" s="12"/>
      <x:c r="M126" s="36"/>
      <x:c r="N126" s="12"/>
      <x:c r="O126" s="12"/>
      <x:c r="P126" s="12"/>
      <x:c r="Q126" s="12"/>
      <x:c r="R126" s="12"/>
      <x:c r="S126" s="12"/>
      <x:c r="T126" s="12"/>
      <x:c r="U126" s="12" t="str">
        <x:f>IF(COUNTA(O126:T126)=0,"",SUM(O126:T126))</x:f>
      </x:c>
      <x:c r="V126" s="12" t="str">
        <x:f>IF(U126="","",IF(U126&gt;=95,"Exceptionnel",IF(U126&gt;=90,"Excellent",IF(U126&gt;=85,"Très bon",IF(U126&gt;=80,"Bon",IF(U126&gt;=70,"Correct","À revoir"))))))</x:f>
      </x:c>
      <x:c r="W126" s="12"/>
      <x:c r="X126" s="12"/>
      <x:c r="Y126" s="12"/>
      <x:c r="Z126" s="12"/>
      <x:c r="AA126" s="12"/>
      <x:c r="AB126" s="12"/>
      <x:c r="AC126" s="12"/>
      <x:c r="AD126" s="12"/>
      <x:c r="AE126" s="38"/>
      <x:c r="AF126" s="40"/>
      <x:c r="AG126" s="12"/>
      <x:c r="AH126" s="12"/>
      <x:c r="AI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 t="str">
        <x:f>IF(OR(H127="",J127=""),"", "https://www.amazon.fr/dp/"&amp;H127&amp;"?tag="&amp;J127)</x:f>
      </x:c>
      <x:c r="L127" s="12"/>
      <x:c r="M127" s="36"/>
      <x:c r="N127" s="12"/>
      <x:c r="O127" s="12"/>
      <x:c r="P127" s="12"/>
      <x:c r="Q127" s="12"/>
      <x:c r="R127" s="12"/>
      <x:c r="S127" s="12"/>
      <x:c r="T127" s="12"/>
      <x:c r="U127" s="12" t="str">
        <x:f>IF(COUNTA(O127:T127)=0,"",SUM(O127:T127))</x:f>
      </x:c>
      <x:c r="V127" s="12" t="str">
        <x:f>IF(U127="","",IF(U127&gt;=95,"Exceptionnel",IF(U127&gt;=90,"Excellent",IF(U127&gt;=85,"Très bon",IF(U127&gt;=80,"Bon",IF(U127&gt;=70,"Correct","À revoir"))))))</x:f>
      </x:c>
      <x:c r="W127" s="12"/>
      <x:c r="X127" s="12"/>
      <x:c r="Y127" s="12"/>
      <x:c r="Z127" s="12"/>
      <x:c r="AA127" s="12"/>
      <x:c r="AB127" s="12"/>
      <x:c r="AC127" s="12"/>
      <x:c r="AD127" s="12"/>
      <x:c r="AE127" s="38"/>
      <x:c r="AF127" s="40"/>
      <x:c r="AG127" s="12"/>
      <x:c r="AH127" s="12"/>
      <x:c r="AI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 t="str">
        <x:f>IF(OR(H128="",J128=""),"", "https://www.amazon.fr/dp/"&amp;H128&amp;"?tag="&amp;J128)</x:f>
      </x:c>
      <x:c r="L128" s="12"/>
      <x:c r="M128" s="36"/>
      <x:c r="N128" s="12"/>
      <x:c r="O128" s="12"/>
      <x:c r="P128" s="12"/>
      <x:c r="Q128" s="12"/>
      <x:c r="R128" s="12"/>
      <x:c r="S128" s="12"/>
      <x:c r="T128" s="12"/>
      <x:c r="U128" s="12" t="str">
        <x:f>IF(COUNTA(O128:T128)=0,"",SUM(O128:T128))</x:f>
      </x:c>
      <x:c r="V128" s="12" t="str">
        <x:f>IF(U128="","",IF(U128&gt;=95,"Exceptionnel",IF(U128&gt;=90,"Excellent",IF(U128&gt;=85,"Très bon",IF(U128&gt;=80,"Bon",IF(U128&gt;=70,"Correct","À revoir"))))))</x:f>
      </x:c>
      <x:c r="W128" s="12"/>
      <x:c r="X128" s="12"/>
      <x:c r="Y128" s="12"/>
      <x:c r="Z128" s="12"/>
      <x:c r="AA128" s="12"/>
      <x:c r="AB128" s="12"/>
      <x:c r="AC128" s="12"/>
      <x:c r="AD128" s="12"/>
      <x:c r="AE128" s="38"/>
      <x:c r="AF128" s="40"/>
      <x:c r="AG128" s="12"/>
      <x:c r="AH128" s="12"/>
      <x:c r="AI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 t="str">
        <x:f>IF(OR(H129="",J129=""),"", "https://www.amazon.fr/dp/"&amp;H129&amp;"?tag="&amp;J129)</x:f>
      </x:c>
      <x:c r="L129" s="12"/>
      <x:c r="M129" s="36"/>
      <x:c r="N129" s="12"/>
      <x:c r="O129" s="12"/>
      <x:c r="P129" s="12"/>
      <x:c r="Q129" s="12"/>
      <x:c r="R129" s="12"/>
      <x:c r="S129" s="12"/>
      <x:c r="T129" s="12"/>
      <x:c r="U129" s="12" t="str">
        <x:f>IF(COUNTA(O129:T129)=0,"",SUM(O129:T129))</x:f>
      </x:c>
      <x:c r="V129" s="12" t="str">
        <x:f>IF(U129="","",IF(U129&gt;=95,"Exceptionnel",IF(U129&gt;=90,"Excellent",IF(U129&gt;=85,"Très bon",IF(U129&gt;=80,"Bon",IF(U129&gt;=70,"Correct","À revoir"))))))</x:f>
      </x:c>
      <x:c r="W129" s="12"/>
      <x:c r="X129" s="12"/>
      <x:c r="Y129" s="12"/>
      <x:c r="Z129" s="12"/>
      <x:c r="AA129" s="12"/>
      <x:c r="AB129" s="12"/>
      <x:c r="AC129" s="12"/>
      <x:c r="AD129" s="12"/>
      <x:c r="AE129" s="38"/>
      <x:c r="AF129" s="40"/>
      <x:c r="AG129" s="12"/>
      <x:c r="AH129" s="12"/>
      <x:c r="AI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 t="str">
        <x:f>IF(OR(H130="",J130=""),"", "https://www.amazon.fr/dp/"&amp;H130&amp;"?tag="&amp;J130)</x:f>
      </x:c>
      <x:c r="L130" s="12"/>
      <x:c r="M130" s="36"/>
      <x:c r="N130" s="12"/>
      <x:c r="O130" s="12"/>
      <x:c r="P130" s="12"/>
      <x:c r="Q130" s="12"/>
      <x:c r="R130" s="12"/>
      <x:c r="S130" s="12"/>
      <x:c r="T130" s="12"/>
      <x:c r="U130" s="12" t="str">
        <x:f>IF(COUNTA(O130:T130)=0,"",SUM(O130:T130))</x:f>
      </x:c>
      <x:c r="V130" s="12" t="str">
        <x:f>IF(U130="","",IF(U130&gt;=95,"Exceptionnel",IF(U130&gt;=90,"Excellent",IF(U130&gt;=85,"Très bon",IF(U130&gt;=80,"Bon",IF(U130&gt;=70,"Correct","À revoir"))))))</x:f>
      </x:c>
      <x:c r="W130" s="12"/>
      <x:c r="X130" s="12"/>
      <x:c r="Y130" s="12"/>
      <x:c r="Z130" s="12"/>
      <x:c r="AA130" s="12"/>
      <x:c r="AB130" s="12"/>
      <x:c r="AC130" s="12"/>
      <x:c r="AD130" s="12"/>
      <x:c r="AE130" s="38"/>
      <x:c r="AF130" s="40"/>
      <x:c r="AG130" s="12"/>
      <x:c r="AH130" s="12"/>
      <x:c r="AI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 t="str">
        <x:f>IF(OR(H131="",J131=""),"", "https://www.amazon.fr/dp/"&amp;H131&amp;"?tag="&amp;J131)</x:f>
      </x:c>
      <x:c r="L131" s="12"/>
      <x:c r="M131" s="36"/>
      <x:c r="N131" s="12"/>
      <x:c r="O131" s="12"/>
      <x:c r="P131" s="12"/>
      <x:c r="Q131" s="12"/>
      <x:c r="R131" s="12"/>
      <x:c r="S131" s="12"/>
      <x:c r="T131" s="12"/>
      <x:c r="U131" s="12" t="str">
        <x:f>IF(COUNTA(O131:T131)=0,"",SUM(O131:T131))</x:f>
      </x:c>
      <x:c r="V131" s="12" t="str">
        <x:f>IF(U131="","",IF(U131&gt;=95,"Exceptionnel",IF(U131&gt;=90,"Excellent",IF(U131&gt;=85,"Très bon",IF(U131&gt;=80,"Bon",IF(U131&gt;=70,"Correct","À revoir"))))))</x:f>
      </x:c>
      <x:c r="W131" s="12"/>
      <x:c r="X131" s="12"/>
      <x:c r="Y131" s="12"/>
      <x:c r="Z131" s="12"/>
      <x:c r="AA131" s="12"/>
      <x:c r="AB131" s="12"/>
      <x:c r="AC131" s="12"/>
      <x:c r="AD131" s="12"/>
      <x:c r="AE131" s="38"/>
      <x:c r="AF131" s="40"/>
      <x:c r="AG131" s="12"/>
      <x:c r="AH131" s="12"/>
      <x:c r="AI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 t="str">
        <x:f>IF(OR(H132="",J132=""),"", "https://www.amazon.fr/dp/"&amp;H132&amp;"?tag="&amp;J132)</x:f>
      </x:c>
      <x:c r="L132" s="12"/>
      <x:c r="M132" s="36"/>
      <x:c r="N132" s="12"/>
      <x:c r="O132" s="12"/>
      <x:c r="P132" s="12"/>
      <x:c r="Q132" s="12"/>
      <x:c r="R132" s="12"/>
      <x:c r="S132" s="12"/>
      <x:c r="T132" s="12"/>
      <x:c r="U132" s="12" t="str">
        <x:f>IF(COUNTA(O132:T132)=0,"",SUM(O132:T132))</x:f>
      </x:c>
      <x:c r="V132" s="12" t="str">
        <x:f>IF(U132="","",IF(U132&gt;=95,"Exceptionnel",IF(U132&gt;=90,"Excellent",IF(U132&gt;=85,"Très bon",IF(U132&gt;=80,"Bon",IF(U132&gt;=70,"Correct","À revoir"))))))</x:f>
      </x:c>
      <x:c r="W132" s="12"/>
      <x:c r="X132" s="12"/>
      <x:c r="Y132" s="12"/>
      <x:c r="Z132" s="12"/>
      <x:c r="AA132" s="12"/>
      <x:c r="AB132" s="12"/>
      <x:c r="AC132" s="12"/>
      <x:c r="AD132" s="12"/>
      <x:c r="AE132" s="38"/>
      <x:c r="AF132" s="40"/>
      <x:c r="AG132" s="12"/>
      <x:c r="AH132" s="12"/>
      <x:c r="AI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 t="str">
        <x:f>IF(OR(H133="",J133=""),"", "https://www.amazon.fr/dp/"&amp;H133&amp;"?tag="&amp;J133)</x:f>
      </x:c>
      <x:c r="L133" s="12"/>
      <x:c r="M133" s="36"/>
      <x:c r="N133" s="12"/>
      <x:c r="O133" s="12"/>
      <x:c r="P133" s="12"/>
      <x:c r="Q133" s="12"/>
      <x:c r="R133" s="12"/>
      <x:c r="S133" s="12"/>
      <x:c r="T133" s="12"/>
      <x:c r="U133" s="12" t="str">
        <x:f>IF(COUNTA(O133:T133)=0,"",SUM(O133:T133))</x:f>
      </x:c>
      <x:c r="V133" s="12" t="str">
        <x:f>IF(U133="","",IF(U133&gt;=95,"Exceptionnel",IF(U133&gt;=90,"Excellent",IF(U133&gt;=85,"Très bon",IF(U133&gt;=80,"Bon",IF(U133&gt;=70,"Correct","À revoir"))))))</x:f>
      </x:c>
      <x:c r="W133" s="12"/>
      <x:c r="X133" s="12"/>
      <x:c r="Y133" s="12"/>
      <x:c r="Z133" s="12"/>
      <x:c r="AA133" s="12"/>
      <x:c r="AB133" s="12"/>
      <x:c r="AC133" s="12"/>
      <x:c r="AD133" s="12"/>
      <x:c r="AE133" s="38"/>
      <x:c r="AF133" s="40"/>
      <x:c r="AG133" s="12"/>
      <x:c r="AH133" s="12"/>
      <x:c r="AI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 t="str">
        <x:f>IF(OR(H134="",J134=""),"", "https://www.amazon.fr/dp/"&amp;H134&amp;"?tag="&amp;J134)</x:f>
      </x:c>
      <x:c r="L134" s="12"/>
      <x:c r="M134" s="36"/>
      <x:c r="N134" s="12"/>
      <x:c r="O134" s="12"/>
      <x:c r="P134" s="12"/>
      <x:c r="Q134" s="12"/>
      <x:c r="R134" s="12"/>
      <x:c r="S134" s="12"/>
      <x:c r="T134" s="12"/>
      <x:c r="U134" s="12" t="str">
        <x:f>IF(COUNTA(O134:T134)=0,"",SUM(O134:T134))</x:f>
      </x:c>
      <x:c r="V134" s="12" t="str">
        <x:f>IF(U134="","",IF(U134&gt;=95,"Exceptionnel",IF(U134&gt;=90,"Excellent",IF(U134&gt;=85,"Très bon",IF(U134&gt;=80,"Bon",IF(U134&gt;=70,"Correct","À revoir"))))))</x:f>
      </x:c>
      <x:c r="W134" s="12"/>
      <x:c r="X134" s="12"/>
      <x:c r="Y134" s="12"/>
      <x:c r="Z134" s="12"/>
      <x:c r="AA134" s="12"/>
      <x:c r="AB134" s="12"/>
      <x:c r="AC134" s="12"/>
      <x:c r="AD134" s="12"/>
      <x:c r="AE134" s="38"/>
      <x:c r="AF134" s="40"/>
      <x:c r="AG134" s="12"/>
      <x:c r="AH134" s="12"/>
      <x:c r="AI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 t="str">
        <x:f>IF(OR(H135="",J135=""),"", "https://www.amazon.fr/dp/"&amp;H135&amp;"?tag="&amp;J135)</x:f>
      </x:c>
      <x:c r="L135" s="12"/>
      <x:c r="M135" s="36"/>
      <x:c r="N135" s="12"/>
      <x:c r="O135" s="12"/>
      <x:c r="P135" s="12"/>
      <x:c r="Q135" s="12"/>
      <x:c r="R135" s="12"/>
      <x:c r="S135" s="12"/>
      <x:c r="T135" s="12"/>
      <x:c r="U135" s="12" t="str">
        <x:f>IF(COUNTA(O135:T135)=0,"",SUM(O135:T135))</x:f>
      </x:c>
      <x:c r="V135" s="12" t="str">
        <x:f>IF(U135="","",IF(U135&gt;=95,"Exceptionnel",IF(U135&gt;=90,"Excellent",IF(U135&gt;=85,"Très bon",IF(U135&gt;=80,"Bon",IF(U135&gt;=70,"Correct","À revoir"))))))</x:f>
      </x:c>
      <x:c r="W135" s="12"/>
      <x:c r="X135" s="12"/>
      <x:c r="Y135" s="12"/>
      <x:c r="Z135" s="12"/>
      <x:c r="AA135" s="12"/>
      <x:c r="AB135" s="12"/>
      <x:c r="AC135" s="12"/>
      <x:c r="AD135" s="12"/>
      <x:c r="AE135" s="38"/>
      <x:c r="AF135" s="40"/>
      <x:c r="AG135" s="12"/>
      <x:c r="AH135" s="12"/>
      <x:c r="AI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 t="str">
        <x:f>IF(OR(H136="",J136=""),"", "https://www.amazon.fr/dp/"&amp;H136&amp;"?tag="&amp;J136)</x:f>
      </x:c>
      <x:c r="L136" s="12"/>
      <x:c r="M136" s="36"/>
      <x:c r="N136" s="12"/>
      <x:c r="O136" s="12"/>
      <x:c r="P136" s="12"/>
      <x:c r="Q136" s="12"/>
      <x:c r="R136" s="12"/>
      <x:c r="S136" s="12"/>
      <x:c r="T136" s="12"/>
      <x:c r="U136" s="12" t="str">
        <x:f>IF(COUNTA(O136:T136)=0,"",SUM(O136:T136))</x:f>
      </x:c>
      <x:c r="V136" s="12" t="str">
        <x:f>IF(U136="","",IF(U136&gt;=95,"Exceptionnel",IF(U136&gt;=90,"Excellent",IF(U136&gt;=85,"Très bon",IF(U136&gt;=80,"Bon",IF(U136&gt;=70,"Correct","À revoir"))))))</x:f>
      </x:c>
      <x:c r="W136" s="12"/>
      <x:c r="X136" s="12"/>
      <x:c r="Y136" s="12"/>
      <x:c r="Z136" s="12"/>
      <x:c r="AA136" s="12"/>
      <x:c r="AB136" s="12"/>
      <x:c r="AC136" s="12"/>
      <x:c r="AD136" s="12"/>
      <x:c r="AE136" s="38"/>
      <x:c r="AF136" s="40"/>
      <x:c r="AG136" s="12"/>
      <x:c r="AH136" s="12"/>
      <x:c r="AI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 t="str">
        <x:f>IF(OR(H137="",J137=""),"", "https://www.amazon.fr/dp/"&amp;H137&amp;"?tag="&amp;J137)</x:f>
      </x:c>
      <x:c r="L137" s="12"/>
      <x:c r="M137" s="36"/>
      <x:c r="N137" s="12"/>
      <x:c r="O137" s="12"/>
      <x:c r="P137" s="12"/>
      <x:c r="Q137" s="12"/>
      <x:c r="R137" s="12"/>
      <x:c r="S137" s="12"/>
      <x:c r="T137" s="12"/>
      <x:c r="U137" s="12" t="str">
        <x:f>IF(COUNTA(O137:T137)=0,"",SUM(O137:T137))</x:f>
      </x:c>
      <x:c r="V137" s="12" t="str">
        <x:f>IF(U137="","",IF(U137&gt;=95,"Exceptionnel",IF(U137&gt;=90,"Excellent",IF(U137&gt;=85,"Très bon",IF(U137&gt;=80,"Bon",IF(U137&gt;=70,"Correct","À revoir"))))))</x:f>
      </x:c>
      <x:c r="W137" s="12"/>
      <x:c r="X137" s="12"/>
      <x:c r="Y137" s="12"/>
      <x:c r="Z137" s="12"/>
      <x:c r="AA137" s="12"/>
      <x:c r="AB137" s="12"/>
      <x:c r="AC137" s="12"/>
      <x:c r="AD137" s="12"/>
      <x:c r="AE137" s="38"/>
      <x:c r="AF137" s="40"/>
      <x:c r="AG137" s="12"/>
      <x:c r="AH137" s="12"/>
      <x:c r="AI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 t="str">
        <x:f>IF(OR(H138="",J138=""),"", "https://www.amazon.fr/dp/"&amp;H138&amp;"?tag="&amp;J138)</x:f>
      </x:c>
      <x:c r="L138" s="12"/>
      <x:c r="M138" s="36"/>
      <x:c r="N138" s="12"/>
      <x:c r="O138" s="12"/>
      <x:c r="P138" s="12"/>
      <x:c r="Q138" s="12"/>
      <x:c r="R138" s="12"/>
      <x:c r="S138" s="12"/>
      <x:c r="T138" s="12"/>
      <x:c r="U138" s="12" t="str">
        <x:f>IF(COUNTA(O138:T138)=0,"",SUM(O138:T138))</x:f>
      </x:c>
      <x:c r="V138" s="12" t="str">
        <x:f>IF(U138="","",IF(U138&gt;=95,"Exceptionnel",IF(U138&gt;=90,"Excellent",IF(U138&gt;=85,"Très bon",IF(U138&gt;=80,"Bon",IF(U138&gt;=70,"Correct","À revoir"))))))</x:f>
      </x:c>
      <x:c r="W138" s="12"/>
      <x:c r="X138" s="12"/>
      <x:c r="Y138" s="12"/>
      <x:c r="Z138" s="12"/>
      <x:c r="AA138" s="12"/>
      <x:c r="AB138" s="12"/>
      <x:c r="AC138" s="12"/>
      <x:c r="AD138" s="12"/>
      <x:c r="AE138" s="38"/>
      <x:c r="AF138" s="40"/>
      <x:c r="AG138" s="12"/>
      <x:c r="AH138" s="12"/>
      <x:c r="AI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 t="str">
        <x:f>IF(OR(H139="",J139=""),"", "https://www.amazon.fr/dp/"&amp;H139&amp;"?tag="&amp;J139)</x:f>
      </x:c>
      <x:c r="L139" s="12"/>
      <x:c r="M139" s="36"/>
      <x:c r="N139" s="12"/>
      <x:c r="O139" s="12"/>
      <x:c r="P139" s="12"/>
      <x:c r="Q139" s="12"/>
      <x:c r="R139" s="12"/>
      <x:c r="S139" s="12"/>
      <x:c r="T139" s="12"/>
      <x:c r="U139" s="12" t="str">
        <x:f>IF(COUNTA(O139:T139)=0,"",SUM(O139:T139))</x:f>
      </x:c>
      <x:c r="V139" s="12" t="str">
        <x:f>IF(U139="","",IF(U139&gt;=95,"Exceptionnel",IF(U139&gt;=90,"Excellent",IF(U139&gt;=85,"Très bon",IF(U139&gt;=80,"Bon",IF(U139&gt;=70,"Correct","À revoir"))))))</x:f>
      </x:c>
      <x:c r="W139" s="12"/>
      <x:c r="X139" s="12"/>
      <x:c r="Y139" s="12"/>
      <x:c r="Z139" s="12"/>
      <x:c r="AA139" s="12"/>
      <x:c r="AB139" s="12"/>
      <x:c r="AC139" s="12"/>
      <x:c r="AD139" s="12"/>
      <x:c r="AE139" s="38"/>
      <x:c r="AF139" s="40"/>
      <x:c r="AG139" s="12"/>
      <x:c r="AH139" s="12"/>
      <x:c r="AI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 t="str">
        <x:f>IF(OR(H140="",J140=""),"", "https://www.amazon.fr/dp/"&amp;H140&amp;"?tag="&amp;J140)</x:f>
      </x:c>
      <x:c r="L140" s="12"/>
      <x:c r="M140" s="36"/>
      <x:c r="N140" s="12"/>
      <x:c r="O140" s="12"/>
      <x:c r="P140" s="12"/>
      <x:c r="Q140" s="12"/>
      <x:c r="R140" s="12"/>
      <x:c r="S140" s="12"/>
      <x:c r="T140" s="12"/>
      <x:c r="U140" s="12" t="str">
        <x:f>IF(COUNTA(O140:T140)=0,"",SUM(O140:T140))</x:f>
      </x:c>
      <x:c r="V140" s="12" t="str">
        <x:f>IF(U140="","",IF(U140&gt;=95,"Exceptionnel",IF(U140&gt;=90,"Excellent",IF(U140&gt;=85,"Très bon",IF(U140&gt;=80,"Bon",IF(U140&gt;=70,"Correct","À revoir"))))))</x:f>
      </x:c>
      <x:c r="W140" s="12"/>
      <x:c r="X140" s="12"/>
      <x:c r="Y140" s="12"/>
      <x:c r="Z140" s="12"/>
      <x:c r="AA140" s="12"/>
      <x:c r="AB140" s="12"/>
      <x:c r="AC140" s="12"/>
      <x:c r="AD140" s="12"/>
      <x:c r="AE140" s="38"/>
      <x:c r="AF140" s="40"/>
      <x:c r="AG140" s="12"/>
      <x:c r="AH140" s="12"/>
      <x:c r="AI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 t="str">
        <x:f>IF(OR(H141="",J141=""),"", "https://www.amazon.fr/dp/"&amp;H141&amp;"?tag="&amp;J141)</x:f>
      </x:c>
      <x:c r="L141" s="12"/>
      <x:c r="M141" s="36"/>
      <x:c r="N141" s="12"/>
      <x:c r="O141" s="12"/>
      <x:c r="P141" s="12"/>
      <x:c r="Q141" s="12"/>
      <x:c r="R141" s="12"/>
      <x:c r="S141" s="12"/>
      <x:c r="T141" s="12"/>
      <x:c r="U141" s="12" t="str">
        <x:f>IF(COUNTA(O141:T141)=0,"",SUM(O141:T141))</x:f>
      </x:c>
      <x:c r="V141" s="12" t="str">
        <x:f>IF(U141="","",IF(U141&gt;=95,"Exceptionnel",IF(U141&gt;=90,"Excellent",IF(U141&gt;=85,"Très bon",IF(U141&gt;=80,"Bon",IF(U141&gt;=70,"Correct","À revoir"))))))</x:f>
      </x:c>
      <x:c r="W141" s="12"/>
      <x:c r="X141" s="12"/>
      <x:c r="Y141" s="12"/>
      <x:c r="Z141" s="12"/>
      <x:c r="AA141" s="12"/>
      <x:c r="AB141" s="12"/>
      <x:c r="AC141" s="12"/>
      <x:c r="AD141" s="12"/>
      <x:c r="AE141" s="38"/>
      <x:c r="AF141" s="40"/>
      <x:c r="AG141" s="12"/>
      <x:c r="AH141" s="12"/>
      <x:c r="AI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 t="str">
        <x:f>IF(OR(H142="",J142=""),"", "https://www.amazon.fr/dp/"&amp;H142&amp;"?tag="&amp;J142)</x:f>
      </x:c>
      <x:c r="L142" s="12"/>
      <x:c r="M142" s="36"/>
      <x:c r="N142" s="12"/>
      <x:c r="O142" s="12"/>
      <x:c r="P142" s="12"/>
      <x:c r="Q142" s="12"/>
      <x:c r="R142" s="12"/>
      <x:c r="S142" s="12"/>
      <x:c r="T142" s="12"/>
      <x:c r="U142" s="12" t="str">
        <x:f>IF(COUNTA(O142:T142)=0,"",SUM(O142:T142))</x:f>
      </x:c>
      <x:c r="V142" s="12" t="str">
        <x:f>IF(U142="","",IF(U142&gt;=95,"Exceptionnel",IF(U142&gt;=90,"Excellent",IF(U142&gt;=85,"Très bon",IF(U142&gt;=80,"Bon",IF(U142&gt;=70,"Correct","À revoir"))))))</x:f>
      </x:c>
      <x:c r="W142" s="12"/>
      <x:c r="X142" s="12"/>
      <x:c r="Y142" s="12"/>
      <x:c r="Z142" s="12"/>
      <x:c r="AA142" s="12"/>
      <x:c r="AB142" s="12"/>
      <x:c r="AC142" s="12"/>
      <x:c r="AD142" s="12"/>
      <x:c r="AE142" s="38"/>
      <x:c r="AF142" s="40"/>
      <x:c r="AG142" s="12"/>
      <x:c r="AH142" s="12"/>
      <x:c r="AI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 t="str">
        <x:f>IF(OR(H143="",J143=""),"", "https://www.amazon.fr/dp/"&amp;H143&amp;"?tag="&amp;J143)</x:f>
      </x:c>
      <x:c r="L143" s="12"/>
      <x:c r="M143" s="36"/>
      <x:c r="N143" s="12"/>
      <x:c r="O143" s="12"/>
      <x:c r="P143" s="12"/>
      <x:c r="Q143" s="12"/>
      <x:c r="R143" s="12"/>
      <x:c r="S143" s="12"/>
      <x:c r="T143" s="12"/>
      <x:c r="U143" s="12" t="str">
        <x:f>IF(COUNTA(O143:T143)=0,"",SUM(O143:T143))</x:f>
      </x:c>
      <x:c r="V143" s="12" t="str">
        <x:f>IF(U143="","",IF(U143&gt;=95,"Exceptionnel",IF(U143&gt;=90,"Excellent",IF(U143&gt;=85,"Très bon",IF(U143&gt;=80,"Bon",IF(U143&gt;=70,"Correct","À revoir"))))))</x:f>
      </x:c>
      <x:c r="W143" s="12"/>
      <x:c r="X143" s="12"/>
      <x:c r="Y143" s="12"/>
      <x:c r="Z143" s="12"/>
      <x:c r="AA143" s="12"/>
      <x:c r="AB143" s="12"/>
      <x:c r="AC143" s="12"/>
      <x:c r="AD143" s="12"/>
      <x:c r="AE143" s="38"/>
      <x:c r="AF143" s="40"/>
      <x:c r="AG143" s="12"/>
      <x:c r="AH143" s="12"/>
      <x:c r="AI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 t="str">
        <x:f>IF(OR(H144="",J144=""),"", "https://www.amazon.fr/dp/"&amp;H144&amp;"?tag="&amp;J144)</x:f>
      </x:c>
      <x:c r="L144" s="12"/>
      <x:c r="M144" s="36"/>
      <x:c r="N144" s="12"/>
      <x:c r="O144" s="12"/>
      <x:c r="P144" s="12"/>
      <x:c r="Q144" s="12"/>
      <x:c r="R144" s="12"/>
      <x:c r="S144" s="12"/>
      <x:c r="T144" s="12"/>
      <x:c r="U144" s="12" t="str">
        <x:f>IF(COUNTA(O144:T144)=0,"",SUM(O144:T144))</x:f>
      </x:c>
      <x:c r="V144" s="12" t="str">
        <x:f>IF(U144="","",IF(U144&gt;=95,"Exceptionnel",IF(U144&gt;=90,"Excellent",IF(U144&gt;=85,"Très bon",IF(U144&gt;=80,"Bon",IF(U144&gt;=70,"Correct","À revoir"))))))</x:f>
      </x:c>
      <x:c r="W144" s="12"/>
      <x:c r="X144" s="12"/>
      <x:c r="Y144" s="12"/>
      <x:c r="Z144" s="12"/>
      <x:c r="AA144" s="12"/>
      <x:c r="AB144" s="12"/>
      <x:c r="AC144" s="12"/>
      <x:c r="AD144" s="12"/>
      <x:c r="AE144" s="38"/>
      <x:c r="AF144" s="40"/>
      <x:c r="AG144" s="12"/>
      <x:c r="AH144" s="12"/>
      <x:c r="AI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 t="str">
        <x:f>IF(OR(H145="",J145=""),"", "https://www.amazon.fr/dp/"&amp;H145&amp;"?tag="&amp;J145)</x:f>
      </x:c>
      <x:c r="L145" s="12"/>
      <x:c r="M145" s="36"/>
      <x:c r="N145" s="12"/>
      <x:c r="O145" s="12"/>
      <x:c r="P145" s="12"/>
      <x:c r="Q145" s="12"/>
      <x:c r="R145" s="12"/>
      <x:c r="S145" s="12"/>
      <x:c r="T145" s="12"/>
      <x:c r="U145" s="12" t="str">
        <x:f>IF(COUNTA(O145:T145)=0,"",SUM(O145:T145))</x:f>
      </x:c>
      <x:c r="V145" s="12" t="str">
        <x:f>IF(U145="","",IF(U145&gt;=95,"Exceptionnel",IF(U145&gt;=90,"Excellent",IF(U145&gt;=85,"Très bon",IF(U145&gt;=80,"Bon",IF(U145&gt;=70,"Correct","À revoir"))))))</x:f>
      </x:c>
      <x:c r="W145" s="12"/>
      <x:c r="X145" s="12"/>
      <x:c r="Y145" s="12"/>
      <x:c r="Z145" s="12"/>
      <x:c r="AA145" s="12"/>
      <x:c r="AB145" s="12"/>
      <x:c r="AC145" s="12"/>
      <x:c r="AD145" s="12"/>
      <x:c r="AE145" s="38"/>
      <x:c r="AF145" s="40"/>
      <x:c r="AG145" s="12"/>
      <x:c r="AH145" s="12"/>
      <x:c r="AI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 t="str">
        <x:f>IF(OR(H146="",J146=""),"", "https://www.amazon.fr/dp/"&amp;H146&amp;"?tag="&amp;J146)</x:f>
      </x:c>
      <x:c r="L146" s="12"/>
      <x:c r="M146" s="36"/>
      <x:c r="N146" s="12"/>
      <x:c r="O146" s="12"/>
      <x:c r="P146" s="12"/>
      <x:c r="Q146" s="12"/>
      <x:c r="R146" s="12"/>
      <x:c r="S146" s="12"/>
      <x:c r="T146" s="12"/>
      <x:c r="U146" s="12" t="str">
        <x:f>IF(COUNTA(O146:T146)=0,"",SUM(O146:T146))</x:f>
      </x:c>
      <x:c r="V146" s="12" t="str">
        <x:f>IF(U146="","",IF(U146&gt;=95,"Exceptionnel",IF(U146&gt;=90,"Excellent",IF(U146&gt;=85,"Très bon",IF(U146&gt;=80,"Bon",IF(U146&gt;=70,"Correct","À revoir"))))))</x:f>
      </x:c>
      <x:c r="W146" s="12"/>
      <x:c r="X146" s="12"/>
      <x:c r="Y146" s="12"/>
      <x:c r="Z146" s="12"/>
      <x:c r="AA146" s="12"/>
      <x:c r="AB146" s="12"/>
      <x:c r="AC146" s="12"/>
      <x:c r="AD146" s="12"/>
      <x:c r="AE146" s="38"/>
      <x:c r="AF146" s="40"/>
      <x:c r="AG146" s="12"/>
      <x:c r="AH146" s="12"/>
      <x:c r="AI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 t="str">
        <x:f>IF(OR(H147="",J147=""),"", "https://www.amazon.fr/dp/"&amp;H147&amp;"?tag="&amp;J147)</x:f>
      </x:c>
      <x:c r="L147" s="12"/>
      <x:c r="M147" s="36"/>
      <x:c r="N147" s="12"/>
      <x:c r="O147" s="12"/>
      <x:c r="P147" s="12"/>
      <x:c r="Q147" s="12"/>
      <x:c r="R147" s="12"/>
      <x:c r="S147" s="12"/>
      <x:c r="T147" s="12"/>
      <x:c r="U147" s="12" t="str">
        <x:f>IF(COUNTA(O147:T147)=0,"",SUM(O147:T147))</x:f>
      </x:c>
      <x:c r="V147" s="12" t="str">
        <x:f>IF(U147="","",IF(U147&gt;=95,"Exceptionnel",IF(U147&gt;=90,"Excellent",IF(U147&gt;=85,"Très bon",IF(U147&gt;=80,"Bon",IF(U147&gt;=70,"Correct","À revoir"))))))</x:f>
      </x:c>
      <x:c r="W147" s="12"/>
      <x:c r="X147" s="12"/>
      <x:c r="Y147" s="12"/>
      <x:c r="Z147" s="12"/>
      <x:c r="AA147" s="12"/>
      <x:c r="AB147" s="12"/>
      <x:c r="AC147" s="12"/>
      <x:c r="AD147" s="12"/>
      <x:c r="AE147" s="38"/>
      <x:c r="AF147" s="40"/>
      <x:c r="AG147" s="12"/>
      <x:c r="AH147" s="12"/>
      <x:c r="AI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 t="str">
        <x:f>IF(OR(H148="",J148=""),"", "https://www.amazon.fr/dp/"&amp;H148&amp;"?tag="&amp;J148)</x:f>
      </x:c>
      <x:c r="L148" s="12"/>
      <x:c r="M148" s="36"/>
      <x:c r="N148" s="12"/>
      <x:c r="O148" s="12"/>
      <x:c r="P148" s="12"/>
      <x:c r="Q148" s="12"/>
      <x:c r="R148" s="12"/>
      <x:c r="S148" s="12"/>
      <x:c r="T148" s="12"/>
      <x:c r="U148" s="12" t="str">
        <x:f>IF(COUNTA(O148:T148)=0,"",SUM(O148:T148))</x:f>
      </x:c>
      <x:c r="V148" s="12" t="str">
        <x:f>IF(U148="","",IF(U148&gt;=95,"Exceptionnel",IF(U148&gt;=90,"Excellent",IF(U148&gt;=85,"Très bon",IF(U148&gt;=80,"Bon",IF(U148&gt;=70,"Correct","À revoir"))))))</x:f>
      </x:c>
      <x:c r="W148" s="12"/>
      <x:c r="X148" s="12"/>
      <x:c r="Y148" s="12"/>
      <x:c r="Z148" s="12"/>
      <x:c r="AA148" s="12"/>
      <x:c r="AB148" s="12"/>
      <x:c r="AC148" s="12"/>
      <x:c r="AD148" s="12"/>
      <x:c r="AE148" s="38"/>
      <x:c r="AF148" s="40"/>
      <x:c r="AG148" s="12"/>
      <x:c r="AH148" s="12"/>
      <x:c r="AI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 t="str">
        <x:f>IF(OR(H149="",J149=""),"", "https://www.amazon.fr/dp/"&amp;H149&amp;"?tag="&amp;J149)</x:f>
      </x:c>
      <x:c r="L149" s="12"/>
      <x:c r="M149" s="36"/>
      <x:c r="N149" s="12"/>
      <x:c r="O149" s="12"/>
      <x:c r="P149" s="12"/>
      <x:c r="Q149" s="12"/>
      <x:c r="R149" s="12"/>
      <x:c r="S149" s="12"/>
      <x:c r="T149" s="12"/>
      <x:c r="U149" s="12" t="str">
        <x:f>IF(COUNTA(O149:T149)=0,"",SUM(O149:T149))</x:f>
      </x:c>
      <x:c r="V149" s="12" t="str">
        <x:f>IF(U149="","",IF(U149&gt;=95,"Exceptionnel",IF(U149&gt;=90,"Excellent",IF(U149&gt;=85,"Très bon",IF(U149&gt;=80,"Bon",IF(U149&gt;=70,"Correct","À revoir"))))))</x:f>
      </x:c>
      <x:c r="W149" s="12"/>
      <x:c r="X149" s="12"/>
      <x:c r="Y149" s="12"/>
      <x:c r="Z149" s="12"/>
      <x:c r="AA149" s="12"/>
      <x:c r="AB149" s="12"/>
      <x:c r="AC149" s="12"/>
      <x:c r="AD149" s="12"/>
      <x:c r="AE149" s="38"/>
      <x:c r="AF149" s="40"/>
      <x:c r="AG149" s="12"/>
      <x:c r="AH149" s="12"/>
      <x:c r="AI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 t="str">
        <x:f>IF(OR(H150="",J150=""),"", "https://www.amazon.fr/dp/"&amp;H150&amp;"?tag="&amp;J150)</x:f>
      </x:c>
      <x:c r="L150" s="12"/>
      <x:c r="M150" s="36"/>
      <x:c r="N150" s="12"/>
      <x:c r="O150" s="12"/>
      <x:c r="P150" s="12"/>
      <x:c r="Q150" s="12"/>
      <x:c r="R150" s="12"/>
      <x:c r="S150" s="12"/>
      <x:c r="T150" s="12"/>
      <x:c r="U150" s="12" t="str">
        <x:f>IF(COUNTA(O150:T150)=0,"",SUM(O150:T150))</x:f>
      </x:c>
      <x:c r="V150" s="12" t="str">
        <x:f>IF(U150="","",IF(U150&gt;=95,"Exceptionnel",IF(U150&gt;=90,"Excellent",IF(U150&gt;=85,"Très bon",IF(U150&gt;=80,"Bon",IF(U150&gt;=70,"Correct","À revoir"))))))</x:f>
      </x:c>
      <x:c r="W150" s="12"/>
      <x:c r="X150" s="12"/>
      <x:c r="Y150" s="12"/>
      <x:c r="Z150" s="12"/>
      <x:c r="AA150" s="12"/>
      <x:c r="AB150" s="12"/>
      <x:c r="AC150" s="12"/>
      <x:c r="AD150" s="12"/>
      <x:c r="AE150" s="38"/>
      <x:c r="AF150" s="40"/>
      <x:c r="AG150" s="12"/>
      <x:c r="AH150" s="12"/>
      <x:c r="AI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 t="str">
        <x:f>IF(OR(H151="",J151=""),"", "https://www.amazon.fr/dp/"&amp;H151&amp;"?tag="&amp;J151)</x:f>
      </x:c>
      <x:c r="L151" s="12"/>
      <x:c r="M151" s="36"/>
      <x:c r="N151" s="12"/>
      <x:c r="O151" s="12"/>
      <x:c r="P151" s="12"/>
      <x:c r="Q151" s="12"/>
      <x:c r="R151" s="12"/>
      <x:c r="S151" s="12"/>
      <x:c r="T151" s="12"/>
      <x:c r="U151" s="12" t="str">
        <x:f>IF(COUNTA(O151:T151)=0,"",SUM(O151:T151))</x:f>
      </x:c>
      <x:c r="V151" s="12" t="str">
        <x:f>IF(U151="","",IF(U151&gt;=95,"Exceptionnel",IF(U151&gt;=90,"Excellent",IF(U151&gt;=85,"Très bon",IF(U151&gt;=80,"Bon",IF(U151&gt;=70,"Correct","À revoir"))))))</x:f>
      </x:c>
      <x:c r="W151" s="12"/>
      <x:c r="X151" s="12"/>
      <x:c r="Y151" s="12"/>
      <x:c r="Z151" s="12"/>
      <x:c r="AA151" s="12"/>
      <x:c r="AB151" s="12"/>
      <x:c r="AC151" s="12"/>
      <x:c r="AD151" s="12"/>
      <x:c r="AE151" s="38"/>
      <x:c r="AF151" s="40"/>
      <x:c r="AG151" s="12"/>
      <x:c r="AH151" s="12"/>
      <x:c r="AI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 t="str">
        <x:f>IF(OR(H152="",J152=""),"", "https://www.amazon.fr/dp/"&amp;H152&amp;"?tag="&amp;J152)</x:f>
      </x:c>
      <x:c r="L152" s="12"/>
      <x:c r="M152" s="36"/>
      <x:c r="N152" s="12"/>
      <x:c r="O152" s="12"/>
      <x:c r="P152" s="12"/>
      <x:c r="Q152" s="12"/>
      <x:c r="R152" s="12"/>
      <x:c r="S152" s="12"/>
      <x:c r="T152" s="12"/>
      <x:c r="U152" s="12" t="str">
        <x:f>IF(COUNTA(O152:T152)=0,"",SUM(O152:T152))</x:f>
      </x:c>
      <x:c r="V152" s="12" t="str">
        <x:f>IF(U152="","",IF(U152&gt;=95,"Exceptionnel",IF(U152&gt;=90,"Excellent",IF(U152&gt;=85,"Très bon",IF(U152&gt;=80,"Bon",IF(U152&gt;=70,"Correct","À revoir"))))))</x:f>
      </x:c>
      <x:c r="W152" s="12"/>
      <x:c r="X152" s="12"/>
      <x:c r="Y152" s="12"/>
      <x:c r="Z152" s="12"/>
      <x:c r="AA152" s="12"/>
      <x:c r="AB152" s="12"/>
      <x:c r="AC152" s="12"/>
      <x:c r="AD152" s="12"/>
      <x:c r="AE152" s="38"/>
      <x:c r="AF152" s="40"/>
      <x:c r="AG152" s="12"/>
      <x:c r="AH152" s="12"/>
      <x:c r="AI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 t="str">
        <x:f>IF(OR(H153="",J153=""),"", "https://www.amazon.fr/dp/"&amp;H153&amp;"?tag="&amp;J153)</x:f>
      </x:c>
      <x:c r="L153" s="12"/>
      <x:c r="M153" s="36"/>
      <x:c r="N153" s="12"/>
      <x:c r="O153" s="12"/>
      <x:c r="P153" s="12"/>
      <x:c r="Q153" s="12"/>
      <x:c r="R153" s="12"/>
      <x:c r="S153" s="12"/>
      <x:c r="T153" s="12"/>
      <x:c r="U153" s="12" t="str">
        <x:f>IF(COUNTA(O153:T153)=0,"",SUM(O153:T153))</x:f>
      </x:c>
      <x:c r="V153" s="12" t="str">
        <x:f>IF(U153="","",IF(U153&gt;=95,"Exceptionnel",IF(U153&gt;=90,"Excellent",IF(U153&gt;=85,"Très bon",IF(U153&gt;=80,"Bon",IF(U153&gt;=70,"Correct","À revoir"))))))</x:f>
      </x:c>
      <x:c r="W153" s="12"/>
      <x:c r="X153" s="12"/>
      <x:c r="Y153" s="12"/>
      <x:c r="Z153" s="12"/>
      <x:c r="AA153" s="12"/>
      <x:c r="AB153" s="12"/>
      <x:c r="AC153" s="12"/>
      <x:c r="AD153" s="12"/>
      <x:c r="AE153" s="38"/>
      <x:c r="AF153" s="40"/>
      <x:c r="AG153" s="12"/>
      <x:c r="AH153" s="12"/>
      <x:c r="AI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 t="str">
        <x:f>IF(OR(H154="",J154=""),"", "https://www.amazon.fr/dp/"&amp;H154&amp;"?tag="&amp;J154)</x:f>
      </x:c>
      <x:c r="L154" s="12"/>
      <x:c r="M154" s="36"/>
      <x:c r="N154" s="12"/>
      <x:c r="O154" s="12"/>
      <x:c r="P154" s="12"/>
      <x:c r="Q154" s="12"/>
      <x:c r="R154" s="12"/>
      <x:c r="S154" s="12"/>
      <x:c r="T154" s="12"/>
      <x:c r="U154" s="12" t="str">
        <x:f>IF(COUNTA(O154:T154)=0,"",SUM(O154:T154))</x:f>
      </x:c>
      <x:c r="V154" s="12" t="str">
        <x:f>IF(U154="","",IF(U154&gt;=95,"Exceptionnel",IF(U154&gt;=90,"Excellent",IF(U154&gt;=85,"Très bon",IF(U154&gt;=80,"Bon",IF(U154&gt;=70,"Correct","À revoir"))))))</x:f>
      </x:c>
      <x:c r="W154" s="12"/>
      <x:c r="X154" s="12"/>
      <x:c r="Y154" s="12"/>
      <x:c r="Z154" s="12"/>
      <x:c r="AA154" s="12"/>
      <x:c r="AB154" s="12"/>
      <x:c r="AC154" s="12"/>
      <x:c r="AD154" s="12"/>
      <x:c r="AE154" s="38"/>
      <x:c r="AF154" s="40"/>
      <x:c r="AG154" s="12"/>
      <x:c r="AH154" s="12"/>
      <x:c r="AI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 t="str">
        <x:f>IF(OR(H155="",J155=""),"", "https://www.amazon.fr/dp/"&amp;H155&amp;"?tag="&amp;J155)</x:f>
      </x:c>
      <x:c r="L155" s="12"/>
      <x:c r="M155" s="36"/>
      <x:c r="N155" s="12"/>
      <x:c r="O155" s="12"/>
      <x:c r="P155" s="12"/>
      <x:c r="Q155" s="12"/>
      <x:c r="R155" s="12"/>
      <x:c r="S155" s="12"/>
      <x:c r="T155" s="12"/>
      <x:c r="U155" s="12" t="str">
        <x:f>IF(COUNTA(O155:T155)=0,"",SUM(O155:T155))</x:f>
      </x:c>
      <x:c r="V155" s="12" t="str">
        <x:f>IF(U155="","",IF(U155&gt;=95,"Exceptionnel",IF(U155&gt;=90,"Excellent",IF(U155&gt;=85,"Très bon",IF(U155&gt;=80,"Bon",IF(U155&gt;=70,"Correct","À revoir"))))))</x:f>
      </x:c>
      <x:c r="W155" s="12"/>
      <x:c r="X155" s="12"/>
      <x:c r="Y155" s="12"/>
      <x:c r="Z155" s="12"/>
      <x:c r="AA155" s="12"/>
      <x:c r="AB155" s="12"/>
      <x:c r="AC155" s="12"/>
      <x:c r="AD155" s="12"/>
      <x:c r="AE155" s="38"/>
      <x:c r="AF155" s="40"/>
      <x:c r="AG155" s="12"/>
      <x:c r="AH155" s="12"/>
      <x:c r="AI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 t="str">
        <x:f>IF(OR(H156="",J156=""),"", "https://www.amazon.fr/dp/"&amp;H156&amp;"?tag="&amp;J156)</x:f>
      </x:c>
      <x:c r="L156" s="12"/>
      <x:c r="M156" s="36"/>
      <x:c r="N156" s="12"/>
      <x:c r="O156" s="12"/>
      <x:c r="P156" s="12"/>
      <x:c r="Q156" s="12"/>
      <x:c r="R156" s="12"/>
      <x:c r="S156" s="12"/>
      <x:c r="T156" s="12"/>
      <x:c r="U156" s="12" t="str">
        <x:f>IF(COUNTA(O156:T156)=0,"",SUM(O156:T156))</x:f>
      </x:c>
      <x:c r="V156" s="12" t="str">
        <x:f>IF(U156="","",IF(U156&gt;=95,"Exceptionnel",IF(U156&gt;=90,"Excellent",IF(U156&gt;=85,"Très bon",IF(U156&gt;=80,"Bon",IF(U156&gt;=70,"Correct","À revoir"))))))</x:f>
      </x:c>
      <x:c r="W156" s="12"/>
      <x:c r="X156" s="12"/>
      <x:c r="Y156" s="12"/>
      <x:c r="Z156" s="12"/>
      <x:c r="AA156" s="12"/>
      <x:c r="AB156" s="12"/>
      <x:c r="AC156" s="12"/>
      <x:c r="AD156" s="12"/>
      <x:c r="AE156" s="38"/>
      <x:c r="AF156" s="40"/>
      <x:c r="AG156" s="12"/>
      <x:c r="AH156" s="12"/>
      <x:c r="AI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 t="str">
        <x:f>IF(OR(H157="",J157=""),"", "https://www.amazon.fr/dp/"&amp;H157&amp;"?tag="&amp;J157)</x:f>
      </x:c>
      <x:c r="L157" s="12"/>
      <x:c r="M157" s="36"/>
      <x:c r="N157" s="12"/>
      <x:c r="O157" s="12"/>
      <x:c r="P157" s="12"/>
      <x:c r="Q157" s="12"/>
      <x:c r="R157" s="12"/>
      <x:c r="S157" s="12"/>
      <x:c r="T157" s="12"/>
      <x:c r="U157" s="12" t="str">
        <x:f>IF(COUNTA(O157:T157)=0,"",SUM(O157:T157))</x:f>
      </x:c>
      <x:c r="V157" s="12" t="str">
        <x:f>IF(U157="","",IF(U157&gt;=95,"Exceptionnel",IF(U157&gt;=90,"Excellent",IF(U157&gt;=85,"Très bon",IF(U157&gt;=80,"Bon",IF(U157&gt;=70,"Correct","À revoir"))))))</x:f>
      </x:c>
      <x:c r="W157" s="12"/>
      <x:c r="X157" s="12"/>
      <x:c r="Y157" s="12"/>
      <x:c r="Z157" s="12"/>
      <x:c r="AA157" s="12"/>
      <x:c r="AB157" s="12"/>
      <x:c r="AC157" s="12"/>
      <x:c r="AD157" s="12"/>
      <x:c r="AE157" s="38"/>
      <x:c r="AF157" s="40"/>
      <x:c r="AG157" s="12"/>
      <x:c r="AH157" s="12"/>
      <x:c r="AI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 t="str">
        <x:f>IF(OR(H158="",J158=""),"", "https://www.amazon.fr/dp/"&amp;H158&amp;"?tag="&amp;J158)</x:f>
      </x:c>
      <x:c r="L158" s="12"/>
      <x:c r="M158" s="36"/>
      <x:c r="N158" s="12"/>
      <x:c r="O158" s="12"/>
      <x:c r="P158" s="12"/>
      <x:c r="Q158" s="12"/>
      <x:c r="R158" s="12"/>
      <x:c r="S158" s="12"/>
      <x:c r="T158" s="12"/>
      <x:c r="U158" s="12" t="str">
        <x:f>IF(COUNTA(O158:T158)=0,"",SUM(O158:T158))</x:f>
      </x:c>
      <x:c r="V158" s="12" t="str">
        <x:f>IF(U158="","",IF(U158&gt;=95,"Exceptionnel",IF(U158&gt;=90,"Excellent",IF(U158&gt;=85,"Très bon",IF(U158&gt;=80,"Bon",IF(U158&gt;=70,"Correct","À revoir"))))))</x:f>
      </x:c>
      <x:c r="W158" s="12"/>
      <x:c r="X158" s="12"/>
      <x:c r="Y158" s="12"/>
      <x:c r="Z158" s="12"/>
      <x:c r="AA158" s="12"/>
      <x:c r="AB158" s="12"/>
      <x:c r="AC158" s="12"/>
      <x:c r="AD158" s="12"/>
      <x:c r="AE158" s="38"/>
      <x:c r="AF158" s="40"/>
      <x:c r="AG158" s="12"/>
      <x:c r="AH158" s="12"/>
      <x:c r="AI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 t="str">
        <x:f>IF(OR(H159="",J159=""),"", "https://www.amazon.fr/dp/"&amp;H159&amp;"?tag="&amp;J159)</x:f>
      </x:c>
      <x:c r="L159" s="12"/>
      <x:c r="M159" s="36"/>
      <x:c r="N159" s="12"/>
      <x:c r="O159" s="12"/>
      <x:c r="P159" s="12"/>
      <x:c r="Q159" s="12"/>
      <x:c r="R159" s="12"/>
      <x:c r="S159" s="12"/>
      <x:c r="T159" s="12"/>
      <x:c r="U159" s="12" t="str">
        <x:f>IF(COUNTA(O159:T159)=0,"",SUM(O159:T159))</x:f>
      </x:c>
      <x:c r="V159" s="12" t="str">
        <x:f>IF(U159="","",IF(U159&gt;=95,"Exceptionnel",IF(U159&gt;=90,"Excellent",IF(U159&gt;=85,"Très bon",IF(U159&gt;=80,"Bon",IF(U159&gt;=70,"Correct","À revoir"))))))</x:f>
      </x:c>
      <x:c r="W159" s="12"/>
      <x:c r="X159" s="12"/>
      <x:c r="Y159" s="12"/>
      <x:c r="Z159" s="12"/>
      <x:c r="AA159" s="12"/>
      <x:c r="AB159" s="12"/>
      <x:c r="AC159" s="12"/>
      <x:c r="AD159" s="12"/>
      <x:c r="AE159" s="38"/>
      <x:c r="AF159" s="40"/>
      <x:c r="AG159" s="12"/>
      <x:c r="AH159" s="12"/>
      <x:c r="AI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 t="str">
        <x:f>IF(OR(H160="",J160=""),"", "https://www.amazon.fr/dp/"&amp;H160&amp;"?tag="&amp;J160)</x:f>
      </x:c>
      <x:c r="L160" s="12"/>
      <x:c r="M160" s="36"/>
      <x:c r="N160" s="12"/>
      <x:c r="O160" s="12"/>
      <x:c r="P160" s="12"/>
      <x:c r="Q160" s="12"/>
      <x:c r="R160" s="12"/>
      <x:c r="S160" s="12"/>
      <x:c r="T160" s="12"/>
      <x:c r="U160" s="12" t="str">
        <x:f>IF(COUNTA(O160:T160)=0,"",SUM(O160:T160))</x:f>
      </x:c>
      <x:c r="V160" s="12" t="str">
        <x:f>IF(U160="","",IF(U160&gt;=95,"Exceptionnel",IF(U160&gt;=90,"Excellent",IF(U160&gt;=85,"Très bon",IF(U160&gt;=80,"Bon",IF(U160&gt;=70,"Correct","À revoir"))))))</x:f>
      </x:c>
      <x:c r="W160" s="12"/>
      <x:c r="X160" s="12"/>
      <x:c r="Y160" s="12"/>
      <x:c r="Z160" s="12"/>
      <x:c r="AA160" s="12"/>
      <x:c r="AB160" s="12"/>
      <x:c r="AC160" s="12"/>
      <x:c r="AD160" s="12"/>
      <x:c r="AE160" s="38"/>
      <x:c r="AF160" s="40"/>
      <x:c r="AG160" s="12"/>
      <x:c r="AH160" s="12"/>
      <x:c r="AI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 t="str">
        <x:f>IF(OR(H161="",J161=""),"", "https://www.amazon.fr/dp/"&amp;H161&amp;"?tag="&amp;J161)</x:f>
      </x:c>
      <x:c r="L161" s="12"/>
      <x:c r="M161" s="36"/>
      <x:c r="N161" s="12"/>
      <x:c r="O161" s="12"/>
      <x:c r="P161" s="12"/>
      <x:c r="Q161" s="12"/>
      <x:c r="R161" s="12"/>
      <x:c r="S161" s="12"/>
      <x:c r="T161" s="12"/>
      <x:c r="U161" s="12" t="str">
        <x:f>IF(COUNTA(O161:T161)=0,"",SUM(O161:T161))</x:f>
      </x:c>
      <x:c r="V161" s="12" t="str">
        <x:f>IF(U161="","",IF(U161&gt;=95,"Exceptionnel",IF(U161&gt;=90,"Excellent",IF(U161&gt;=85,"Très bon",IF(U161&gt;=80,"Bon",IF(U161&gt;=70,"Correct","À revoir"))))))</x:f>
      </x:c>
      <x:c r="W161" s="12"/>
      <x:c r="X161" s="12"/>
      <x:c r="Y161" s="12"/>
      <x:c r="Z161" s="12"/>
      <x:c r="AA161" s="12"/>
      <x:c r="AB161" s="12"/>
      <x:c r="AC161" s="12"/>
      <x:c r="AD161" s="12"/>
      <x:c r="AE161" s="38"/>
      <x:c r="AF161" s="40"/>
      <x:c r="AG161" s="12"/>
      <x:c r="AH161" s="12"/>
      <x:c r="AI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 t="str">
        <x:f>IF(OR(H162="",J162=""),"", "https://www.amazon.fr/dp/"&amp;H162&amp;"?tag="&amp;J162)</x:f>
      </x:c>
      <x:c r="L162" s="12"/>
      <x:c r="M162" s="36"/>
      <x:c r="N162" s="12"/>
      <x:c r="O162" s="12"/>
      <x:c r="P162" s="12"/>
      <x:c r="Q162" s="12"/>
      <x:c r="R162" s="12"/>
      <x:c r="S162" s="12"/>
      <x:c r="T162" s="12"/>
      <x:c r="U162" s="12" t="str">
        <x:f>IF(COUNTA(O162:T162)=0,"",SUM(O162:T162))</x:f>
      </x:c>
      <x:c r="V162" s="12" t="str">
        <x:f>IF(U162="","",IF(U162&gt;=95,"Exceptionnel",IF(U162&gt;=90,"Excellent",IF(U162&gt;=85,"Très bon",IF(U162&gt;=80,"Bon",IF(U162&gt;=70,"Correct","À revoir"))))))</x:f>
      </x:c>
      <x:c r="W162" s="12"/>
      <x:c r="X162" s="12"/>
      <x:c r="Y162" s="12"/>
      <x:c r="Z162" s="12"/>
      <x:c r="AA162" s="12"/>
      <x:c r="AB162" s="12"/>
      <x:c r="AC162" s="12"/>
      <x:c r="AD162" s="12"/>
      <x:c r="AE162" s="38"/>
      <x:c r="AF162" s="40"/>
      <x:c r="AG162" s="12"/>
      <x:c r="AH162" s="12"/>
      <x:c r="AI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 t="str">
        <x:f>IF(OR(H163="",J163=""),"", "https://www.amazon.fr/dp/"&amp;H163&amp;"?tag="&amp;J163)</x:f>
      </x:c>
      <x:c r="L163" s="12"/>
      <x:c r="M163" s="36"/>
      <x:c r="N163" s="12"/>
      <x:c r="O163" s="12"/>
      <x:c r="P163" s="12"/>
      <x:c r="Q163" s="12"/>
      <x:c r="R163" s="12"/>
      <x:c r="S163" s="12"/>
      <x:c r="T163" s="12"/>
      <x:c r="U163" s="12" t="str">
        <x:f>IF(COUNTA(O163:T163)=0,"",SUM(O163:T163))</x:f>
      </x:c>
      <x:c r="V163" s="12" t="str">
        <x:f>IF(U163="","",IF(U163&gt;=95,"Exceptionnel",IF(U163&gt;=90,"Excellent",IF(U163&gt;=85,"Très bon",IF(U163&gt;=80,"Bon",IF(U163&gt;=70,"Correct","À revoir"))))))</x:f>
      </x:c>
      <x:c r="W163" s="12"/>
      <x:c r="X163" s="12"/>
      <x:c r="Y163" s="12"/>
      <x:c r="Z163" s="12"/>
      <x:c r="AA163" s="12"/>
      <x:c r="AB163" s="12"/>
      <x:c r="AC163" s="12"/>
      <x:c r="AD163" s="12"/>
      <x:c r="AE163" s="38"/>
      <x:c r="AF163" s="40"/>
      <x:c r="AG163" s="12"/>
      <x:c r="AH163" s="12"/>
      <x:c r="AI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 t="str">
        <x:f>IF(OR(H164="",J164=""),"", "https://www.amazon.fr/dp/"&amp;H164&amp;"?tag="&amp;J164)</x:f>
      </x:c>
      <x:c r="L164" s="12"/>
      <x:c r="M164" s="36"/>
      <x:c r="N164" s="12"/>
      <x:c r="O164" s="12"/>
      <x:c r="P164" s="12"/>
      <x:c r="Q164" s="12"/>
      <x:c r="R164" s="12"/>
      <x:c r="S164" s="12"/>
      <x:c r="T164" s="12"/>
      <x:c r="U164" s="12" t="str">
        <x:f>IF(COUNTA(O164:T164)=0,"",SUM(O164:T164))</x:f>
      </x:c>
      <x:c r="V164" s="12" t="str">
        <x:f>IF(U164="","",IF(U164&gt;=95,"Exceptionnel",IF(U164&gt;=90,"Excellent",IF(U164&gt;=85,"Très bon",IF(U164&gt;=80,"Bon",IF(U164&gt;=70,"Correct","À revoir"))))))</x:f>
      </x:c>
      <x:c r="W164" s="12"/>
      <x:c r="X164" s="12"/>
      <x:c r="Y164" s="12"/>
      <x:c r="Z164" s="12"/>
      <x:c r="AA164" s="12"/>
      <x:c r="AB164" s="12"/>
      <x:c r="AC164" s="12"/>
      <x:c r="AD164" s="12"/>
      <x:c r="AE164" s="38"/>
      <x:c r="AF164" s="40"/>
      <x:c r="AG164" s="12"/>
      <x:c r="AH164" s="12"/>
      <x:c r="AI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 t="str">
        <x:f>IF(OR(H165="",J165=""),"", "https://www.amazon.fr/dp/"&amp;H165&amp;"?tag="&amp;J165)</x:f>
      </x:c>
      <x:c r="L165" s="12"/>
      <x:c r="M165" s="36"/>
      <x:c r="N165" s="12"/>
      <x:c r="O165" s="12"/>
      <x:c r="P165" s="12"/>
      <x:c r="Q165" s="12"/>
      <x:c r="R165" s="12"/>
      <x:c r="S165" s="12"/>
      <x:c r="T165" s="12"/>
      <x:c r="U165" s="12" t="str">
        <x:f>IF(COUNTA(O165:T165)=0,"",SUM(O165:T165))</x:f>
      </x:c>
      <x:c r="V165" s="12" t="str">
        <x:f>IF(U165="","",IF(U165&gt;=95,"Exceptionnel",IF(U165&gt;=90,"Excellent",IF(U165&gt;=85,"Très bon",IF(U165&gt;=80,"Bon",IF(U165&gt;=70,"Correct","À revoir"))))))</x:f>
      </x:c>
      <x:c r="W165" s="12"/>
      <x:c r="X165" s="12"/>
      <x:c r="Y165" s="12"/>
      <x:c r="Z165" s="12"/>
      <x:c r="AA165" s="12"/>
      <x:c r="AB165" s="12"/>
      <x:c r="AC165" s="12"/>
      <x:c r="AD165" s="12"/>
      <x:c r="AE165" s="38"/>
      <x:c r="AF165" s="40"/>
      <x:c r="AG165" s="12"/>
      <x:c r="AH165" s="12"/>
      <x:c r="AI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 t="str">
        <x:f>IF(OR(H166="",J166=""),"", "https://www.amazon.fr/dp/"&amp;H166&amp;"?tag="&amp;J166)</x:f>
      </x:c>
      <x:c r="L166" s="12"/>
      <x:c r="M166" s="36"/>
      <x:c r="N166" s="12"/>
      <x:c r="O166" s="12"/>
      <x:c r="P166" s="12"/>
      <x:c r="Q166" s="12"/>
      <x:c r="R166" s="12"/>
      <x:c r="S166" s="12"/>
      <x:c r="T166" s="12"/>
      <x:c r="U166" s="12" t="str">
        <x:f>IF(COUNTA(O166:T166)=0,"",SUM(O166:T166))</x:f>
      </x:c>
      <x:c r="V166" s="12" t="str">
        <x:f>IF(U166="","",IF(U166&gt;=95,"Exceptionnel",IF(U166&gt;=90,"Excellent",IF(U166&gt;=85,"Très bon",IF(U166&gt;=80,"Bon",IF(U166&gt;=70,"Correct","À revoir"))))))</x:f>
      </x:c>
      <x:c r="W166" s="12"/>
      <x:c r="X166" s="12"/>
      <x:c r="Y166" s="12"/>
      <x:c r="Z166" s="12"/>
      <x:c r="AA166" s="12"/>
      <x:c r="AB166" s="12"/>
      <x:c r="AC166" s="12"/>
      <x:c r="AD166" s="12"/>
      <x:c r="AE166" s="38"/>
      <x:c r="AF166" s="40"/>
      <x:c r="AG166" s="12"/>
      <x:c r="AH166" s="12"/>
      <x:c r="AI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 t="str">
        <x:f>IF(OR(H167="",J167=""),"", "https://www.amazon.fr/dp/"&amp;H167&amp;"?tag="&amp;J167)</x:f>
      </x:c>
      <x:c r="L167" s="12"/>
      <x:c r="M167" s="36"/>
      <x:c r="N167" s="12"/>
      <x:c r="O167" s="12"/>
      <x:c r="P167" s="12"/>
      <x:c r="Q167" s="12"/>
      <x:c r="R167" s="12"/>
      <x:c r="S167" s="12"/>
      <x:c r="T167" s="12"/>
      <x:c r="U167" s="12" t="str">
        <x:f>IF(COUNTA(O167:T167)=0,"",SUM(O167:T167))</x:f>
      </x:c>
      <x:c r="V167" s="12" t="str">
        <x:f>IF(U167="","",IF(U167&gt;=95,"Exceptionnel",IF(U167&gt;=90,"Excellent",IF(U167&gt;=85,"Très bon",IF(U167&gt;=80,"Bon",IF(U167&gt;=70,"Correct","À revoir"))))))</x:f>
      </x:c>
      <x:c r="W167" s="12"/>
      <x:c r="X167" s="12"/>
      <x:c r="Y167" s="12"/>
      <x:c r="Z167" s="12"/>
      <x:c r="AA167" s="12"/>
      <x:c r="AB167" s="12"/>
      <x:c r="AC167" s="12"/>
      <x:c r="AD167" s="12"/>
      <x:c r="AE167" s="38"/>
      <x:c r="AF167" s="40"/>
      <x:c r="AG167" s="12"/>
      <x:c r="AH167" s="12"/>
      <x:c r="AI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 t="str">
        <x:f>IF(OR(H168="",J168=""),"", "https://www.amazon.fr/dp/"&amp;H168&amp;"?tag="&amp;J168)</x:f>
      </x:c>
      <x:c r="L168" s="12"/>
      <x:c r="M168" s="36"/>
      <x:c r="N168" s="12"/>
      <x:c r="O168" s="12"/>
      <x:c r="P168" s="12"/>
      <x:c r="Q168" s="12"/>
      <x:c r="R168" s="12"/>
      <x:c r="S168" s="12"/>
      <x:c r="T168" s="12"/>
      <x:c r="U168" s="12" t="str">
        <x:f>IF(COUNTA(O168:T168)=0,"",SUM(O168:T168))</x:f>
      </x:c>
      <x:c r="V168" s="12" t="str">
        <x:f>IF(U168="","",IF(U168&gt;=95,"Exceptionnel",IF(U168&gt;=90,"Excellent",IF(U168&gt;=85,"Très bon",IF(U168&gt;=80,"Bon",IF(U168&gt;=70,"Correct","À revoir"))))))</x:f>
      </x:c>
      <x:c r="W168" s="12"/>
      <x:c r="X168" s="12"/>
      <x:c r="Y168" s="12"/>
      <x:c r="Z168" s="12"/>
      <x:c r="AA168" s="12"/>
      <x:c r="AB168" s="12"/>
      <x:c r="AC168" s="12"/>
      <x:c r="AD168" s="12"/>
      <x:c r="AE168" s="38"/>
      <x:c r="AF168" s="40"/>
      <x:c r="AG168" s="12"/>
      <x:c r="AH168" s="12"/>
      <x:c r="AI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 t="str">
        <x:f>IF(OR(H169="",J169=""),"", "https://www.amazon.fr/dp/"&amp;H169&amp;"?tag="&amp;J169)</x:f>
      </x:c>
      <x:c r="L169" s="12"/>
      <x:c r="M169" s="36"/>
      <x:c r="N169" s="12"/>
      <x:c r="O169" s="12"/>
      <x:c r="P169" s="12"/>
      <x:c r="Q169" s="12"/>
      <x:c r="R169" s="12"/>
      <x:c r="S169" s="12"/>
      <x:c r="T169" s="12"/>
      <x:c r="U169" s="12" t="str">
        <x:f>IF(COUNTA(O169:T169)=0,"",SUM(O169:T169))</x:f>
      </x:c>
      <x:c r="V169" s="12" t="str">
        <x:f>IF(U169="","",IF(U169&gt;=95,"Exceptionnel",IF(U169&gt;=90,"Excellent",IF(U169&gt;=85,"Très bon",IF(U169&gt;=80,"Bon",IF(U169&gt;=70,"Correct","À revoir"))))))</x:f>
      </x:c>
      <x:c r="W169" s="12"/>
      <x:c r="X169" s="12"/>
      <x:c r="Y169" s="12"/>
      <x:c r="Z169" s="12"/>
      <x:c r="AA169" s="12"/>
      <x:c r="AB169" s="12"/>
      <x:c r="AC169" s="12"/>
      <x:c r="AD169" s="12"/>
      <x:c r="AE169" s="38"/>
      <x:c r="AF169" s="40"/>
      <x:c r="AG169" s="12"/>
      <x:c r="AH169" s="12"/>
      <x:c r="AI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 t="str">
        <x:f>IF(OR(H170="",J170=""),"", "https://www.amazon.fr/dp/"&amp;H170&amp;"?tag="&amp;J170)</x:f>
      </x:c>
      <x:c r="L170" s="12"/>
      <x:c r="M170" s="36"/>
      <x:c r="N170" s="12"/>
      <x:c r="O170" s="12"/>
      <x:c r="P170" s="12"/>
      <x:c r="Q170" s="12"/>
      <x:c r="R170" s="12"/>
      <x:c r="S170" s="12"/>
      <x:c r="T170" s="12"/>
      <x:c r="U170" s="12" t="str">
        <x:f>IF(COUNTA(O170:T170)=0,"",SUM(O170:T170))</x:f>
      </x:c>
      <x:c r="V170" s="12" t="str">
        <x:f>IF(U170="","",IF(U170&gt;=95,"Exceptionnel",IF(U170&gt;=90,"Excellent",IF(U170&gt;=85,"Très bon",IF(U170&gt;=80,"Bon",IF(U170&gt;=70,"Correct","À revoir"))))))</x:f>
      </x:c>
      <x:c r="W170" s="12"/>
      <x:c r="X170" s="12"/>
      <x:c r="Y170" s="12"/>
      <x:c r="Z170" s="12"/>
      <x:c r="AA170" s="12"/>
      <x:c r="AB170" s="12"/>
      <x:c r="AC170" s="12"/>
      <x:c r="AD170" s="12"/>
      <x:c r="AE170" s="38"/>
      <x:c r="AF170" s="40"/>
      <x:c r="AG170" s="12"/>
      <x:c r="AH170" s="12"/>
      <x:c r="AI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 t="str">
        <x:f>IF(OR(H171="",J171=""),"", "https://www.amazon.fr/dp/"&amp;H171&amp;"?tag="&amp;J171)</x:f>
      </x:c>
      <x:c r="L171" s="12"/>
      <x:c r="M171" s="36"/>
      <x:c r="N171" s="12"/>
      <x:c r="O171" s="12"/>
      <x:c r="P171" s="12"/>
      <x:c r="Q171" s="12"/>
      <x:c r="R171" s="12"/>
      <x:c r="S171" s="12"/>
      <x:c r="T171" s="12"/>
      <x:c r="U171" s="12" t="str">
        <x:f>IF(COUNTA(O171:T171)=0,"",SUM(O171:T171))</x:f>
      </x:c>
      <x:c r="V171" s="12" t="str">
        <x:f>IF(U171="","",IF(U171&gt;=95,"Exceptionnel",IF(U171&gt;=90,"Excellent",IF(U171&gt;=85,"Très bon",IF(U171&gt;=80,"Bon",IF(U171&gt;=70,"Correct","À revoir"))))))</x:f>
      </x:c>
      <x:c r="W171" s="12"/>
      <x:c r="X171" s="12"/>
      <x:c r="Y171" s="12"/>
      <x:c r="Z171" s="12"/>
      <x:c r="AA171" s="12"/>
      <x:c r="AB171" s="12"/>
      <x:c r="AC171" s="12"/>
      <x:c r="AD171" s="12"/>
      <x:c r="AE171" s="38"/>
      <x:c r="AF171" s="40"/>
      <x:c r="AG171" s="12"/>
      <x:c r="AH171" s="12"/>
      <x:c r="AI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 t="str">
        <x:f>IF(OR(H172="",J172=""),"", "https://www.amazon.fr/dp/"&amp;H172&amp;"?tag="&amp;J172)</x:f>
      </x:c>
      <x:c r="L172" s="12"/>
      <x:c r="M172" s="36"/>
      <x:c r="N172" s="12"/>
      <x:c r="O172" s="12"/>
      <x:c r="P172" s="12"/>
      <x:c r="Q172" s="12"/>
      <x:c r="R172" s="12"/>
      <x:c r="S172" s="12"/>
      <x:c r="T172" s="12"/>
      <x:c r="U172" s="12" t="str">
        <x:f>IF(COUNTA(O172:T172)=0,"",SUM(O172:T172))</x:f>
      </x:c>
      <x:c r="V172" s="12" t="str">
        <x:f>IF(U172="","",IF(U172&gt;=95,"Exceptionnel",IF(U172&gt;=90,"Excellent",IF(U172&gt;=85,"Très bon",IF(U172&gt;=80,"Bon",IF(U172&gt;=70,"Correct","À revoir"))))))</x:f>
      </x:c>
      <x:c r="W172" s="12"/>
      <x:c r="X172" s="12"/>
      <x:c r="Y172" s="12"/>
      <x:c r="Z172" s="12"/>
      <x:c r="AA172" s="12"/>
      <x:c r="AB172" s="12"/>
      <x:c r="AC172" s="12"/>
      <x:c r="AD172" s="12"/>
      <x:c r="AE172" s="38"/>
      <x:c r="AF172" s="40"/>
      <x:c r="AG172" s="12"/>
      <x:c r="AH172" s="12"/>
      <x:c r="AI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 t="str">
        <x:f>IF(OR(H173="",J173=""),"", "https://www.amazon.fr/dp/"&amp;H173&amp;"?tag="&amp;J173)</x:f>
      </x:c>
      <x:c r="L173" s="12"/>
      <x:c r="M173" s="36"/>
      <x:c r="N173" s="12"/>
      <x:c r="O173" s="12"/>
      <x:c r="P173" s="12"/>
      <x:c r="Q173" s="12"/>
      <x:c r="R173" s="12"/>
      <x:c r="S173" s="12"/>
      <x:c r="T173" s="12"/>
      <x:c r="U173" s="12" t="str">
        <x:f>IF(COUNTA(O173:T173)=0,"",SUM(O173:T173))</x:f>
      </x:c>
      <x:c r="V173" s="12" t="str">
        <x:f>IF(U173="","",IF(U173&gt;=95,"Exceptionnel",IF(U173&gt;=90,"Excellent",IF(U173&gt;=85,"Très bon",IF(U173&gt;=80,"Bon",IF(U173&gt;=70,"Correct","À revoir"))))))</x:f>
      </x:c>
      <x:c r="W173" s="12"/>
      <x:c r="X173" s="12"/>
      <x:c r="Y173" s="12"/>
      <x:c r="Z173" s="12"/>
      <x:c r="AA173" s="12"/>
      <x:c r="AB173" s="12"/>
      <x:c r="AC173" s="12"/>
      <x:c r="AD173" s="12"/>
      <x:c r="AE173" s="38"/>
      <x:c r="AF173" s="40"/>
      <x:c r="AG173" s="12"/>
      <x:c r="AH173" s="12"/>
      <x:c r="AI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 t="str">
        <x:f>IF(OR(H174="",J174=""),"", "https://www.amazon.fr/dp/"&amp;H174&amp;"?tag="&amp;J174)</x:f>
      </x:c>
      <x:c r="L174" s="12"/>
      <x:c r="M174" s="36"/>
      <x:c r="N174" s="12"/>
      <x:c r="O174" s="12"/>
      <x:c r="P174" s="12"/>
      <x:c r="Q174" s="12"/>
      <x:c r="R174" s="12"/>
      <x:c r="S174" s="12"/>
      <x:c r="T174" s="12"/>
      <x:c r="U174" s="12" t="str">
        <x:f>IF(COUNTA(O174:T174)=0,"",SUM(O174:T174))</x:f>
      </x:c>
      <x:c r="V174" s="12" t="str">
        <x:f>IF(U174="","",IF(U174&gt;=95,"Exceptionnel",IF(U174&gt;=90,"Excellent",IF(U174&gt;=85,"Très bon",IF(U174&gt;=80,"Bon",IF(U174&gt;=70,"Correct","À revoir"))))))</x:f>
      </x:c>
      <x:c r="W174" s="12"/>
      <x:c r="X174" s="12"/>
      <x:c r="Y174" s="12"/>
      <x:c r="Z174" s="12"/>
      <x:c r="AA174" s="12"/>
      <x:c r="AB174" s="12"/>
      <x:c r="AC174" s="12"/>
      <x:c r="AD174" s="12"/>
      <x:c r="AE174" s="38"/>
      <x:c r="AF174" s="40"/>
      <x:c r="AG174" s="12"/>
      <x:c r="AH174" s="12"/>
      <x:c r="AI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 t="str">
        <x:f>IF(OR(H175="",J175=""),"", "https://www.amazon.fr/dp/"&amp;H175&amp;"?tag="&amp;J175)</x:f>
      </x:c>
      <x:c r="L175" s="12"/>
      <x:c r="M175" s="36"/>
      <x:c r="N175" s="12"/>
      <x:c r="O175" s="12"/>
      <x:c r="P175" s="12"/>
      <x:c r="Q175" s="12"/>
      <x:c r="R175" s="12"/>
      <x:c r="S175" s="12"/>
      <x:c r="T175" s="12"/>
      <x:c r="U175" s="12" t="str">
        <x:f>IF(COUNTA(O175:T175)=0,"",SUM(O175:T175))</x:f>
      </x:c>
      <x:c r="V175" s="12" t="str">
        <x:f>IF(U175="","",IF(U175&gt;=95,"Exceptionnel",IF(U175&gt;=90,"Excellent",IF(U175&gt;=85,"Très bon",IF(U175&gt;=80,"Bon",IF(U175&gt;=70,"Correct","À revoir"))))))</x:f>
      </x:c>
      <x:c r="W175" s="12"/>
      <x:c r="X175" s="12"/>
      <x:c r="Y175" s="12"/>
      <x:c r="Z175" s="12"/>
      <x:c r="AA175" s="12"/>
      <x:c r="AB175" s="12"/>
      <x:c r="AC175" s="12"/>
      <x:c r="AD175" s="12"/>
      <x:c r="AE175" s="38"/>
      <x:c r="AF175" s="40"/>
      <x:c r="AG175" s="12"/>
      <x:c r="AH175" s="12"/>
      <x:c r="AI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 t="str">
        <x:f>IF(OR(H176="",J176=""),"", "https://www.amazon.fr/dp/"&amp;H176&amp;"?tag="&amp;J176)</x:f>
      </x:c>
      <x:c r="L176" s="12"/>
      <x:c r="M176" s="36"/>
      <x:c r="N176" s="12"/>
      <x:c r="O176" s="12"/>
      <x:c r="P176" s="12"/>
      <x:c r="Q176" s="12"/>
      <x:c r="R176" s="12"/>
      <x:c r="S176" s="12"/>
      <x:c r="T176" s="12"/>
      <x:c r="U176" s="12" t="str">
        <x:f>IF(COUNTA(O176:T176)=0,"",SUM(O176:T176))</x:f>
      </x:c>
      <x:c r="V176" s="12" t="str">
        <x:f>IF(U176="","",IF(U176&gt;=95,"Exceptionnel",IF(U176&gt;=90,"Excellent",IF(U176&gt;=85,"Très bon",IF(U176&gt;=80,"Bon",IF(U176&gt;=70,"Correct","À revoir"))))))</x:f>
      </x:c>
      <x:c r="W176" s="12"/>
      <x:c r="X176" s="12"/>
      <x:c r="Y176" s="12"/>
      <x:c r="Z176" s="12"/>
      <x:c r="AA176" s="12"/>
      <x:c r="AB176" s="12"/>
      <x:c r="AC176" s="12"/>
      <x:c r="AD176" s="12"/>
      <x:c r="AE176" s="38"/>
      <x:c r="AF176" s="40"/>
      <x:c r="AG176" s="12"/>
      <x:c r="AH176" s="12"/>
      <x:c r="AI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 t="str">
        <x:f>IF(OR(H177="",J177=""),"", "https://www.amazon.fr/dp/"&amp;H177&amp;"?tag="&amp;J177)</x:f>
      </x:c>
      <x:c r="L177" s="12"/>
      <x:c r="M177" s="36"/>
      <x:c r="N177" s="12"/>
      <x:c r="O177" s="12"/>
      <x:c r="P177" s="12"/>
      <x:c r="Q177" s="12"/>
      <x:c r="R177" s="12"/>
      <x:c r="S177" s="12"/>
      <x:c r="T177" s="12"/>
      <x:c r="U177" s="12" t="str">
        <x:f>IF(COUNTA(O177:T177)=0,"",SUM(O177:T177))</x:f>
      </x:c>
      <x:c r="V177" s="12" t="str">
        <x:f>IF(U177="","",IF(U177&gt;=95,"Exceptionnel",IF(U177&gt;=90,"Excellent",IF(U177&gt;=85,"Très bon",IF(U177&gt;=80,"Bon",IF(U177&gt;=70,"Correct","À revoir"))))))</x:f>
      </x:c>
      <x:c r="W177" s="12"/>
      <x:c r="X177" s="12"/>
      <x:c r="Y177" s="12"/>
      <x:c r="Z177" s="12"/>
      <x:c r="AA177" s="12"/>
      <x:c r="AB177" s="12"/>
      <x:c r="AC177" s="12"/>
      <x:c r="AD177" s="12"/>
      <x:c r="AE177" s="38"/>
      <x:c r="AF177" s="40"/>
      <x:c r="AG177" s="12"/>
      <x:c r="AH177" s="12"/>
      <x:c r="AI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 t="str">
        <x:f>IF(OR(H178="",J178=""),"", "https://www.amazon.fr/dp/"&amp;H178&amp;"?tag="&amp;J178)</x:f>
      </x:c>
      <x:c r="L178" s="12"/>
      <x:c r="M178" s="36"/>
      <x:c r="N178" s="12"/>
      <x:c r="O178" s="12"/>
      <x:c r="P178" s="12"/>
      <x:c r="Q178" s="12"/>
      <x:c r="R178" s="12"/>
      <x:c r="S178" s="12"/>
      <x:c r="T178" s="12"/>
      <x:c r="U178" s="12" t="str">
        <x:f>IF(COUNTA(O178:T178)=0,"",SUM(O178:T178))</x:f>
      </x:c>
      <x:c r="V178" s="12" t="str">
        <x:f>IF(U178="","",IF(U178&gt;=95,"Exceptionnel",IF(U178&gt;=90,"Excellent",IF(U178&gt;=85,"Très bon",IF(U178&gt;=80,"Bon",IF(U178&gt;=70,"Correct","À revoir"))))))</x:f>
      </x:c>
      <x:c r="W178" s="12"/>
      <x:c r="X178" s="12"/>
      <x:c r="Y178" s="12"/>
      <x:c r="Z178" s="12"/>
      <x:c r="AA178" s="12"/>
      <x:c r="AB178" s="12"/>
      <x:c r="AC178" s="12"/>
      <x:c r="AD178" s="12"/>
      <x:c r="AE178" s="38"/>
      <x:c r="AF178" s="40"/>
      <x:c r="AG178" s="12"/>
      <x:c r="AH178" s="12"/>
      <x:c r="AI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 t="str">
        <x:f>IF(OR(H179="",J179=""),"", "https://www.amazon.fr/dp/"&amp;H179&amp;"?tag="&amp;J179)</x:f>
      </x:c>
      <x:c r="L179" s="12"/>
      <x:c r="M179" s="36"/>
      <x:c r="N179" s="12"/>
      <x:c r="O179" s="12"/>
      <x:c r="P179" s="12"/>
      <x:c r="Q179" s="12"/>
      <x:c r="R179" s="12"/>
      <x:c r="S179" s="12"/>
      <x:c r="T179" s="12"/>
      <x:c r="U179" s="12" t="str">
        <x:f>IF(COUNTA(O179:T179)=0,"",SUM(O179:T179))</x:f>
      </x:c>
      <x:c r="V179" s="12" t="str">
        <x:f>IF(U179="","",IF(U179&gt;=95,"Exceptionnel",IF(U179&gt;=90,"Excellent",IF(U179&gt;=85,"Très bon",IF(U179&gt;=80,"Bon",IF(U179&gt;=70,"Correct","À revoir"))))))</x:f>
      </x:c>
      <x:c r="W179" s="12"/>
      <x:c r="X179" s="12"/>
      <x:c r="Y179" s="12"/>
      <x:c r="Z179" s="12"/>
      <x:c r="AA179" s="12"/>
      <x:c r="AB179" s="12"/>
      <x:c r="AC179" s="12"/>
      <x:c r="AD179" s="12"/>
      <x:c r="AE179" s="38"/>
      <x:c r="AF179" s="40"/>
      <x:c r="AG179" s="12"/>
      <x:c r="AH179" s="12"/>
      <x:c r="AI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 t="str">
        <x:f>IF(OR(H180="",J180=""),"", "https://www.amazon.fr/dp/"&amp;H180&amp;"?tag="&amp;J180)</x:f>
      </x:c>
      <x:c r="L180" s="12"/>
      <x:c r="M180" s="36"/>
      <x:c r="N180" s="12"/>
      <x:c r="O180" s="12"/>
      <x:c r="P180" s="12"/>
      <x:c r="Q180" s="12"/>
      <x:c r="R180" s="12"/>
      <x:c r="S180" s="12"/>
      <x:c r="T180" s="12"/>
      <x:c r="U180" s="12" t="str">
        <x:f>IF(COUNTA(O180:T180)=0,"",SUM(O180:T180))</x:f>
      </x:c>
      <x:c r="V180" s="12" t="str">
        <x:f>IF(U180="","",IF(U180&gt;=95,"Exceptionnel",IF(U180&gt;=90,"Excellent",IF(U180&gt;=85,"Très bon",IF(U180&gt;=80,"Bon",IF(U180&gt;=70,"Correct","À revoir"))))))</x:f>
      </x:c>
      <x:c r="W180" s="12"/>
      <x:c r="X180" s="12"/>
      <x:c r="Y180" s="12"/>
      <x:c r="Z180" s="12"/>
      <x:c r="AA180" s="12"/>
      <x:c r="AB180" s="12"/>
      <x:c r="AC180" s="12"/>
      <x:c r="AD180" s="12"/>
      <x:c r="AE180" s="38"/>
      <x:c r="AF180" s="40"/>
      <x:c r="AG180" s="12"/>
      <x:c r="AH180" s="12"/>
      <x:c r="AI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 t="str">
        <x:f>IF(OR(H181="",J181=""),"", "https://www.amazon.fr/dp/"&amp;H181&amp;"?tag="&amp;J181)</x:f>
      </x:c>
      <x:c r="L181" s="12"/>
      <x:c r="M181" s="36"/>
      <x:c r="N181" s="12"/>
      <x:c r="O181" s="12"/>
      <x:c r="P181" s="12"/>
      <x:c r="Q181" s="12"/>
      <x:c r="R181" s="12"/>
      <x:c r="S181" s="12"/>
      <x:c r="T181" s="12"/>
      <x:c r="U181" s="12" t="str">
        <x:f>IF(COUNTA(O181:T181)=0,"",SUM(O181:T181))</x:f>
      </x:c>
      <x:c r="V181" s="12" t="str">
        <x:f>IF(U181="","",IF(U181&gt;=95,"Exceptionnel",IF(U181&gt;=90,"Excellent",IF(U181&gt;=85,"Très bon",IF(U181&gt;=80,"Bon",IF(U181&gt;=70,"Correct","À revoir"))))))</x:f>
      </x:c>
      <x:c r="W181" s="12"/>
      <x:c r="X181" s="12"/>
      <x:c r="Y181" s="12"/>
      <x:c r="Z181" s="12"/>
      <x:c r="AA181" s="12"/>
      <x:c r="AB181" s="12"/>
      <x:c r="AC181" s="12"/>
      <x:c r="AD181" s="12"/>
      <x:c r="AE181" s="38"/>
      <x:c r="AF181" s="40"/>
      <x:c r="AG181" s="12"/>
      <x:c r="AH181" s="12"/>
      <x:c r="AI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 t="str">
        <x:f>IF(OR(H182="",J182=""),"", "https://www.amazon.fr/dp/"&amp;H182&amp;"?tag="&amp;J182)</x:f>
      </x:c>
      <x:c r="L182" s="12"/>
      <x:c r="M182" s="36"/>
      <x:c r="N182" s="12"/>
      <x:c r="O182" s="12"/>
      <x:c r="P182" s="12"/>
      <x:c r="Q182" s="12"/>
      <x:c r="R182" s="12"/>
      <x:c r="S182" s="12"/>
      <x:c r="T182" s="12"/>
      <x:c r="U182" s="12" t="str">
        <x:f>IF(COUNTA(O182:T182)=0,"",SUM(O182:T182))</x:f>
      </x:c>
      <x:c r="V182" s="12" t="str">
        <x:f>IF(U182="","",IF(U182&gt;=95,"Exceptionnel",IF(U182&gt;=90,"Excellent",IF(U182&gt;=85,"Très bon",IF(U182&gt;=80,"Bon",IF(U182&gt;=70,"Correct","À revoir"))))))</x:f>
      </x:c>
      <x:c r="W182" s="12"/>
      <x:c r="X182" s="12"/>
      <x:c r="Y182" s="12"/>
      <x:c r="Z182" s="12"/>
      <x:c r="AA182" s="12"/>
      <x:c r="AB182" s="12"/>
      <x:c r="AC182" s="12"/>
      <x:c r="AD182" s="12"/>
      <x:c r="AE182" s="38"/>
      <x:c r="AF182" s="40"/>
      <x:c r="AG182" s="12"/>
      <x:c r="AH182" s="12"/>
      <x:c r="AI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 t="str">
        <x:f>IF(OR(H183="",J183=""),"", "https://www.amazon.fr/dp/"&amp;H183&amp;"?tag="&amp;J183)</x:f>
      </x:c>
      <x:c r="L183" s="12"/>
      <x:c r="M183" s="36"/>
      <x:c r="N183" s="12"/>
      <x:c r="O183" s="12"/>
      <x:c r="P183" s="12"/>
      <x:c r="Q183" s="12"/>
      <x:c r="R183" s="12"/>
      <x:c r="S183" s="12"/>
      <x:c r="T183" s="12"/>
      <x:c r="U183" s="12" t="str">
        <x:f>IF(COUNTA(O183:T183)=0,"",SUM(O183:T183))</x:f>
      </x:c>
      <x:c r="V183" s="12" t="str">
        <x:f>IF(U183="","",IF(U183&gt;=95,"Exceptionnel",IF(U183&gt;=90,"Excellent",IF(U183&gt;=85,"Très bon",IF(U183&gt;=80,"Bon",IF(U183&gt;=70,"Correct","À revoir"))))))</x:f>
      </x:c>
      <x:c r="W183" s="12"/>
      <x:c r="X183" s="12"/>
      <x:c r="Y183" s="12"/>
      <x:c r="Z183" s="12"/>
      <x:c r="AA183" s="12"/>
      <x:c r="AB183" s="12"/>
      <x:c r="AC183" s="12"/>
      <x:c r="AD183" s="12"/>
      <x:c r="AE183" s="38"/>
      <x:c r="AF183" s="40"/>
      <x:c r="AG183" s="12"/>
      <x:c r="AH183" s="12"/>
      <x:c r="AI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 t="str">
        <x:f>IF(OR(H184="",J184=""),"", "https://www.amazon.fr/dp/"&amp;H184&amp;"?tag="&amp;J184)</x:f>
      </x:c>
      <x:c r="L184" s="12"/>
      <x:c r="M184" s="36"/>
      <x:c r="N184" s="12"/>
      <x:c r="O184" s="12"/>
      <x:c r="P184" s="12"/>
      <x:c r="Q184" s="12"/>
      <x:c r="R184" s="12"/>
      <x:c r="S184" s="12"/>
      <x:c r="T184" s="12"/>
      <x:c r="U184" s="12" t="str">
        <x:f>IF(COUNTA(O184:T184)=0,"",SUM(O184:T184))</x:f>
      </x:c>
      <x:c r="V184" s="12" t="str">
        <x:f>IF(U184="","",IF(U184&gt;=95,"Exceptionnel",IF(U184&gt;=90,"Excellent",IF(U184&gt;=85,"Très bon",IF(U184&gt;=80,"Bon",IF(U184&gt;=70,"Correct","À revoir"))))))</x:f>
      </x:c>
      <x:c r="W184" s="12"/>
      <x:c r="X184" s="12"/>
      <x:c r="Y184" s="12"/>
      <x:c r="Z184" s="12"/>
      <x:c r="AA184" s="12"/>
      <x:c r="AB184" s="12"/>
      <x:c r="AC184" s="12"/>
      <x:c r="AD184" s="12"/>
      <x:c r="AE184" s="38"/>
      <x:c r="AF184" s="40"/>
      <x:c r="AG184" s="12"/>
      <x:c r="AH184" s="12"/>
      <x:c r="AI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 t="str">
        <x:f>IF(OR(H185="",J185=""),"", "https://www.amazon.fr/dp/"&amp;H185&amp;"?tag="&amp;J185)</x:f>
      </x:c>
      <x:c r="L185" s="12"/>
      <x:c r="M185" s="36"/>
      <x:c r="N185" s="12"/>
      <x:c r="O185" s="12"/>
      <x:c r="P185" s="12"/>
      <x:c r="Q185" s="12"/>
      <x:c r="R185" s="12"/>
      <x:c r="S185" s="12"/>
      <x:c r="T185" s="12"/>
      <x:c r="U185" s="12" t="str">
        <x:f>IF(COUNTA(O185:T185)=0,"",SUM(O185:T185))</x:f>
      </x:c>
      <x:c r="V185" s="12" t="str">
        <x:f>IF(U185="","",IF(U185&gt;=95,"Exceptionnel",IF(U185&gt;=90,"Excellent",IF(U185&gt;=85,"Très bon",IF(U185&gt;=80,"Bon",IF(U185&gt;=70,"Correct","À revoir"))))))</x:f>
      </x:c>
      <x:c r="W185" s="12"/>
      <x:c r="X185" s="12"/>
      <x:c r="Y185" s="12"/>
      <x:c r="Z185" s="12"/>
      <x:c r="AA185" s="12"/>
      <x:c r="AB185" s="12"/>
      <x:c r="AC185" s="12"/>
      <x:c r="AD185" s="12"/>
      <x:c r="AE185" s="38"/>
      <x:c r="AF185" s="40"/>
      <x:c r="AG185" s="12"/>
      <x:c r="AH185" s="12"/>
      <x:c r="AI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 t="str">
        <x:f>IF(OR(H186="",J186=""),"", "https://www.amazon.fr/dp/"&amp;H186&amp;"?tag="&amp;J186)</x:f>
      </x:c>
      <x:c r="L186" s="12"/>
      <x:c r="M186" s="36"/>
      <x:c r="N186" s="12"/>
      <x:c r="O186" s="12"/>
      <x:c r="P186" s="12"/>
      <x:c r="Q186" s="12"/>
      <x:c r="R186" s="12"/>
      <x:c r="S186" s="12"/>
      <x:c r="T186" s="12"/>
      <x:c r="U186" s="12" t="str">
        <x:f>IF(COUNTA(O186:T186)=0,"",SUM(O186:T186))</x:f>
      </x:c>
      <x:c r="V186" s="12" t="str">
        <x:f>IF(U186="","",IF(U186&gt;=95,"Exceptionnel",IF(U186&gt;=90,"Excellent",IF(U186&gt;=85,"Très bon",IF(U186&gt;=80,"Bon",IF(U186&gt;=70,"Correct","À revoir"))))))</x:f>
      </x:c>
      <x:c r="W186" s="12"/>
      <x:c r="X186" s="12"/>
      <x:c r="Y186" s="12"/>
      <x:c r="Z186" s="12"/>
      <x:c r="AA186" s="12"/>
      <x:c r="AB186" s="12"/>
      <x:c r="AC186" s="12"/>
      <x:c r="AD186" s="12"/>
      <x:c r="AE186" s="38"/>
      <x:c r="AF186" s="40"/>
      <x:c r="AG186" s="12"/>
      <x:c r="AH186" s="12"/>
      <x:c r="AI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 t="str">
        <x:f>IF(OR(H187="",J187=""),"", "https://www.amazon.fr/dp/"&amp;H187&amp;"?tag="&amp;J187)</x:f>
      </x:c>
      <x:c r="L187" s="12"/>
      <x:c r="M187" s="36"/>
      <x:c r="N187" s="12"/>
      <x:c r="O187" s="12"/>
      <x:c r="P187" s="12"/>
      <x:c r="Q187" s="12"/>
      <x:c r="R187" s="12"/>
      <x:c r="S187" s="12"/>
      <x:c r="T187" s="12"/>
      <x:c r="U187" s="12" t="str">
        <x:f>IF(COUNTA(O187:T187)=0,"",SUM(O187:T187))</x:f>
      </x:c>
      <x:c r="V187" s="12" t="str">
        <x:f>IF(U187="","",IF(U187&gt;=95,"Exceptionnel",IF(U187&gt;=90,"Excellent",IF(U187&gt;=85,"Très bon",IF(U187&gt;=80,"Bon",IF(U187&gt;=70,"Correct","À revoir"))))))</x:f>
      </x:c>
      <x:c r="W187" s="12"/>
      <x:c r="X187" s="12"/>
      <x:c r="Y187" s="12"/>
      <x:c r="Z187" s="12"/>
      <x:c r="AA187" s="12"/>
      <x:c r="AB187" s="12"/>
      <x:c r="AC187" s="12"/>
      <x:c r="AD187" s="12"/>
      <x:c r="AE187" s="38"/>
      <x:c r="AF187" s="40"/>
      <x:c r="AG187" s="12"/>
      <x:c r="AH187" s="12"/>
      <x:c r="AI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 t="str">
        <x:f>IF(OR(H188="",J188=""),"", "https://www.amazon.fr/dp/"&amp;H188&amp;"?tag="&amp;J188)</x:f>
      </x:c>
      <x:c r="L188" s="12"/>
      <x:c r="M188" s="36"/>
      <x:c r="N188" s="12"/>
      <x:c r="O188" s="12"/>
      <x:c r="P188" s="12"/>
      <x:c r="Q188" s="12"/>
      <x:c r="R188" s="12"/>
      <x:c r="S188" s="12"/>
      <x:c r="T188" s="12"/>
      <x:c r="U188" s="12" t="str">
        <x:f>IF(COUNTA(O188:T188)=0,"",SUM(O188:T188))</x:f>
      </x:c>
      <x:c r="V188" s="12" t="str">
        <x:f>IF(U188="","",IF(U188&gt;=95,"Exceptionnel",IF(U188&gt;=90,"Excellent",IF(U188&gt;=85,"Très bon",IF(U188&gt;=80,"Bon",IF(U188&gt;=70,"Correct","À revoir"))))))</x:f>
      </x:c>
      <x:c r="W188" s="12"/>
      <x:c r="X188" s="12"/>
      <x:c r="Y188" s="12"/>
      <x:c r="Z188" s="12"/>
      <x:c r="AA188" s="12"/>
      <x:c r="AB188" s="12"/>
      <x:c r="AC188" s="12"/>
      <x:c r="AD188" s="12"/>
      <x:c r="AE188" s="38"/>
      <x:c r="AF188" s="40"/>
      <x:c r="AG188" s="12"/>
      <x:c r="AH188" s="12"/>
      <x:c r="AI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 t="str">
        <x:f>IF(OR(H189="",J189=""),"", "https://www.amazon.fr/dp/"&amp;H189&amp;"?tag="&amp;J189)</x:f>
      </x:c>
      <x:c r="L189" s="12"/>
      <x:c r="M189" s="36"/>
      <x:c r="N189" s="12"/>
      <x:c r="O189" s="12"/>
      <x:c r="P189" s="12"/>
      <x:c r="Q189" s="12"/>
      <x:c r="R189" s="12"/>
      <x:c r="S189" s="12"/>
      <x:c r="T189" s="12"/>
      <x:c r="U189" s="12" t="str">
        <x:f>IF(COUNTA(O189:T189)=0,"",SUM(O189:T189))</x:f>
      </x:c>
      <x:c r="V189" s="12" t="str">
        <x:f>IF(U189="","",IF(U189&gt;=95,"Exceptionnel",IF(U189&gt;=90,"Excellent",IF(U189&gt;=85,"Très bon",IF(U189&gt;=80,"Bon",IF(U189&gt;=70,"Correct","À revoir"))))))</x:f>
      </x:c>
      <x:c r="W189" s="12"/>
      <x:c r="X189" s="12"/>
      <x:c r="Y189" s="12"/>
      <x:c r="Z189" s="12"/>
      <x:c r="AA189" s="12"/>
      <x:c r="AB189" s="12"/>
      <x:c r="AC189" s="12"/>
      <x:c r="AD189" s="12"/>
      <x:c r="AE189" s="38"/>
      <x:c r="AF189" s="40"/>
      <x:c r="AG189" s="12"/>
      <x:c r="AH189" s="12"/>
      <x:c r="AI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 t="str">
        <x:f>IF(OR(H190="",J190=""),"", "https://www.amazon.fr/dp/"&amp;H190&amp;"?tag="&amp;J190)</x:f>
      </x:c>
      <x:c r="L190" s="12"/>
      <x:c r="M190" s="36"/>
      <x:c r="N190" s="12"/>
      <x:c r="O190" s="12"/>
      <x:c r="P190" s="12"/>
      <x:c r="Q190" s="12"/>
      <x:c r="R190" s="12"/>
      <x:c r="S190" s="12"/>
      <x:c r="T190" s="12"/>
      <x:c r="U190" s="12" t="str">
        <x:f>IF(COUNTA(O190:T190)=0,"",SUM(O190:T190))</x:f>
      </x:c>
      <x:c r="V190" s="12" t="str">
        <x:f>IF(U190="","",IF(U190&gt;=95,"Exceptionnel",IF(U190&gt;=90,"Excellent",IF(U190&gt;=85,"Très bon",IF(U190&gt;=80,"Bon",IF(U190&gt;=70,"Correct","À revoir"))))))</x:f>
      </x:c>
      <x:c r="W190" s="12"/>
      <x:c r="X190" s="12"/>
      <x:c r="Y190" s="12"/>
      <x:c r="Z190" s="12"/>
      <x:c r="AA190" s="12"/>
      <x:c r="AB190" s="12"/>
      <x:c r="AC190" s="12"/>
      <x:c r="AD190" s="12"/>
      <x:c r="AE190" s="38"/>
      <x:c r="AF190" s="40"/>
      <x:c r="AG190" s="12"/>
      <x:c r="AH190" s="12"/>
      <x:c r="AI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 t="str">
        <x:f>IF(OR(H191="",J191=""),"", "https://www.amazon.fr/dp/"&amp;H191&amp;"?tag="&amp;J191)</x:f>
      </x:c>
      <x:c r="L191" s="12"/>
      <x:c r="M191" s="36"/>
      <x:c r="N191" s="12"/>
      <x:c r="O191" s="12"/>
      <x:c r="P191" s="12"/>
      <x:c r="Q191" s="12"/>
      <x:c r="R191" s="12"/>
      <x:c r="S191" s="12"/>
      <x:c r="T191" s="12"/>
      <x:c r="U191" s="12" t="str">
        <x:f>IF(COUNTA(O191:T191)=0,"",SUM(O191:T191))</x:f>
      </x:c>
      <x:c r="V191" s="12" t="str">
        <x:f>IF(U191="","",IF(U191&gt;=95,"Exceptionnel",IF(U191&gt;=90,"Excellent",IF(U191&gt;=85,"Très bon",IF(U191&gt;=80,"Bon",IF(U191&gt;=70,"Correct","À revoir"))))))</x:f>
      </x:c>
      <x:c r="W191" s="12"/>
      <x:c r="X191" s="12"/>
      <x:c r="Y191" s="12"/>
      <x:c r="Z191" s="12"/>
      <x:c r="AA191" s="12"/>
      <x:c r="AB191" s="12"/>
      <x:c r="AC191" s="12"/>
      <x:c r="AD191" s="12"/>
      <x:c r="AE191" s="38"/>
      <x:c r="AF191" s="40"/>
      <x:c r="AG191" s="12"/>
      <x:c r="AH191" s="12"/>
      <x:c r="AI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 t="str">
        <x:f>IF(OR(H192="",J192=""),"", "https://www.amazon.fr/dp/"&amp;H192&amp;"?tag="&amp;J192)</x:f>
      </x:c>
      <x:c r="L192" s="12"/>
      <x:c r="M192" s="36"/>
      <x:c r="N192" s="12"/>
      <x:c r="O192" s="12"/>
      <x:c r="P192" s="12"/>
      <x:c r="Q192" s="12"/>
      <x:c r="R192" s="12"/>
      <x:c r="S192" s="12"/>
      <x:c r="T192" s="12"/>
      <x:c r="U192" s="12" t="str">
        <x:f>IF(COUNTA(O192:T192)=0,"",SUM(O192:T192))</x:f>
      </x:c>
      <x:c r="V192" s="12" t="str">
        <x:f>IF(U192="","",IF(U192&gt;=95,"Exceptionnel",IF(U192&gt;=90,"Excellent",IF(U192&gt;=85,"Très bon",IF(U192&gt;=80,"Bon",IF(U192&gt;=70,"Correct","À revoir"))))))</x:f>
      </x:c>
      <x:c r="W192" s="12"/>
      <x:c r="X192" s="12"/>
      <x:c r="Y192" s="12"/>
      <x:c r="Z192" s="12"/>
      <x:c r="AA192" s="12"/>
      <x:c r="AB192" s="12"/>
      <x:c r="AC192" s="12"/>
      <x:c r="AD192" s="12"/>
      <x:c r="AE192" s="38"/>
      <x:c r="AF192" s="40"/>
      <x:c r="AG192" s="12"/>
      <x:c r="AH192" s="12"/>
      <x:c r="AI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 t="str">
        <x:f>IF(OR(H193="",J193=""),"", "https://www.amazon.fr/dp/"&amp;H193&amp;"?tag="&amp;J193)</x:f>
      </x:c>
      <x:c r="L193" s="12"/>
      <x:c r="M193" s="36"/>
      <x:c r="N193" s="12"/>
      <x:c r="O193" s="12"/>
      <x:c r="P193" s="12"/>
      <x:c r="Q193" s="12"/>
      <x:c r="R193" s="12"/>
      <x:c r="S193" s="12"/>
      <x:c r="T193" s="12"/>
      <x:c r="U193" s="12" t="str">
        <x:f>IF(COUNTA(O193:T193)=0,"",SUM(O193:T193))</x:f>
      </x:c>
      <x:c r="V193" s="12" t="str">
        <x:f>IF(U193="","",IF(U193&gt;=95,"Exceptionnel",IF(U193&gt;=90,"Excellent",IF(U193&gt;=85,"Très bon",IF(U193&gt;=80,"Bon",IF(U193&gt;=70,"Correct","À revoir"))))))</x:f>
      </x:c>
      <x:c r="W193" s="12"/>
      <x:c r="X193" s="12"/>
      <x:c r="Y193" s="12"/>
      <x:c r="Z193" s="12"/>
      <x:c r="AA193" s="12"/>
      <x:c r="AB193" s="12"/>
      <x:c r="AC193" s="12"/>
      <x:c r="AD193" s="12"/>
      <x:c r="AE193" s="38"/>
      <x:c r="AF193" s="40"/>
      <x:c r="AG193" s="12"/>
      <x:c r="AH193" s="12"/>
      <x:c r="AI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 t="str">
        <x:f>IF(OR(H194="",J194=""),"", "https://www.amazon.fr/dp/"&amp;H194&amp;"?tag="&amp;J194)</x:f>
      </x:c>
      <x:c r="L194" s="12"/>
      <x:c r="M194" s="36"/>
      <x:c r="N194" s="12"/>
      <x:c r="O194" s="12"/>
      <x:c r="P194" s="12"/>
      <x:c r="Q194" s="12"/>
      <x:c r="R194" s="12"/>
      <x:c r="S194" s="12"/>
      <x:c r="T194" s="12"/>
      <x:c r="U194" s="12" t="str">
        <x:f>IF(COUNTA(O194:T194)=0,"",SUM(O194:T194))</x:f>
      </x:c>
      <x:c r="V194" s="12" t="str">
        <x:f>IF(U194="","",IF(U194&gt;=95,"Exceptionnel",IF(U194&gt;=90,"Excellent",IF(U194&gt;=85,"Très bon",IF(U194&gt;=80,"Bon",IF(U194&gt;=70,"Correct","À revoir"))))))</x:f>
      </x:c>
      <x:c r="W194" s="12"/>
      <x:c r="X194" s="12"/>
      <x:c r="Y194" s="12"/>
      <x:c r="Z194" s="12"/>
      <x:c r="AA194" s="12"/>
      <x:c r="AB194" s="12"/>
      <x:c r="AC194" s="12"/>
      <x:c r="AD194" s="12"/>
      <x:c r="AE194" s="38"/>
      <x:c r="AF194" s="40"/>
      <x:c r="AG194" s="12"/>
      <x:c r="AH194" s="12"/>
      <x:c r="AI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 t="str">
        <x:f>IF(OR(H195="",J195=""),"", "https://www.amazon.fr/dp/"&amp;H195&amp;"?tag="&amp;J195)</x:f>
      </x:c>
      <x:c r="L195" s="12"/>
      <x:c r="M195" s="36"/>
      <x:c r="N195" s="12"/>
      <x:c r="O195" s="12"/>
      <x:c r="P195" s="12"/>
      <x:c r="Q195" s="12"/>
      <x:c r="R195" s="12"/>
      <x:c r="S195" s="12"/>
      <x:c r="T195" s="12"/>
      <x:c r="U195" s="12" t="str">
        <x:f>IF(COUNTA(O195:T195)=0,"",SUM(O195:T195))</x:f>
      </x:c>
      <x:c r="V195" s="12" t="str">
        <x:f>IF(U195="","",IF(U195&gt;=95,"Exceptionnel",IF(U195&gt;=90,"Excellent",IF(U195&gt;=85,"Très bon",IF(U195&gt;=80,"Bon",IF(U195&gt;=70,"Correct","À revoir"))))))</x:f>
      </x:c>
      <x:c r="W195" s="12"/>
      <x:c r="X195" s="12"/>
      <x:c r="Y195" s="12"/>
      <x:c r="Z195" s="12"/>
      <x:c r="AA195" s="12"/>
      <x:c r="AB195" s="12"/>
      <x:c r="AC195" s="12"/>
      <x:c r="AD195" s="12"/>
      <x:c r="AE195" s="38"/>
      <x:c r="AF195" s="40"/>
      <x:c r="AG195" s="12"/>
      <x:c r="AH195" s="12"/>
      <x:c r="AI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 t="str">
        <x:f>IF(OR(H196="",J196=""),"", "https://www.amazon.fr/dp/"&amp;H196&amp;"?tag="&amp;J196)</x:f>
      </x:c>
      <x:c r="L196" s="12"/>
      <x:c r="M196" s="36"/>
      <x:c r="N196" s="12"/>
      <x:c r="O196" s="12"/>
      <x:c r="P196" s="12"/>
      <x:c r="Q196" s="12"/>
      <x:c r="R196" s="12"/>
      <x:c r="S196" s="12"/>
      <x:c r="T196" s="12"/>
      <x:c r="U196" s="12" t="str">
        <x:f>IF(COUNTA(O196:T196)=0,"",SUM(O196:T196))</x:f>
      </x:c>
      <x:c r="V196" s="12" t="str">
        <x:f>IF(U196="","",IF(U196&gt;=95,"Exceptionnel",IF(U196&gt;=90,"Excellent",IF(U196&gt;=85,"Très bon",IF(U196&gt;=80,"Bon",IF(U196&gt;=70,"Correct","À revoir"))))))</x:f>
      </x:c>
      <x:c r="W196" s="12"/>
      <x:c r="X196" s="12"/>
      <x:c r="Y196" s="12"/>
      <x:c r="Z196" s="12"/>
      <x:c r="AA196" s="12"/>
      <x:c r="AB196" s="12"/>
      <x:c r="AC196" s="12"/>
      <x:c r="AD196" s="12"/>
      <x:c r="AE196" s="38"/>
      <x:c r="AF196" s="40"/>
      <x:c r="AG196" s="12"/>
      <x:c r="AH196" s="12"/>
      <x:c r="AI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 t="str">
        <x:f>IF(OR(H197="",J197=""),"", "https://www.amazon.fr/dp/"&amp;H197&amp;"?tag="&amp;J197)</x:f>
      </x:c>
      <x:c r="L197" s="12"/>
      <x:c r="M197" s="36"/>
      <x:c r="N197" s="12"/>
      <x:c r="O197" s="12"/>
      <x:c r="P197" s="12"/>
      <x:c r="Q197" s="12"/>
      <x:c r="R197" s="12"/>
      <x:c r="S197" s="12"/>
      <x:c r="T197" s="12"/>
      <x:c r="U197" s="12" t="str">
        <x:f>IF(COUNTA(O197:T197)=0,"",SUM(O197:T197))</x:f>
      </x:c>
      <x:c r="V197" s="12" t="str">
        <x:f>IF(U197="","",IF(U197&gt;=95,"Exceptionnel",IF(U197&gt;=90,"Excellent",IF(U197&gt;=85,"Très bon",IF(U197&gt;=80,"Bon",IF(U197&gt;=70,"Correct","À revoir"))))))</x:f>
      </x:c>
      <x:c r="W197" s="12"/>
      <x:c r="X197" s="12"/>
      <x:c r="Y197" s="12"/>
      <x:c r="Z197" s="12"/>
      <x:c r="AA197" s="12"/>
      <x:c r="AB197" s="12"/>
      <x:c r="AC197" s="12"/>
      <x:c r="AD197" s="12"/>
      <x:c r="AE197" s="38"/>
      <x:c r="AF197" s="40"/>
      <x:c r="AG197" s="12"/>
      <x:c r="AH197" s="12"/>
      <x:c r="AI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 t="str">
        <x:f>IF(OR(H198="",J198=""),"", "https://www.amazon.fr/dp/"&amp;H198&amp;"?tag="&amp;J198)</x:f>
      </x:c>
      <x:c r="L198" s="12"/>
      <x:c r="M198" s="36"/>
      <x:c r="N198" s="12"/>
      <x:c r="O198" s="12"/>
      <x:c r="P198" s="12"/>
      <x:c r="Q198" s="12"/>
      <x:c r="R198" s="12"/>
      <x:c r="S198" s="12"/>
      <x:c r="T198" s="12"/>
      <x:c r="U198" s="12" t="str">
        <x:f>IF(COUNTA(O198:T198)=0,"",SUM(O198:T198))</x:f>
      </x:c>
      <x:c r="V198" s="12" t="str">
        <x:f>IF(U198="","",IF(U198&gt;=95,"Exceptionnel",IF(U198&gt;=90,"Excellent",IF(U198&gt;=85,"Très bon",IF(U198&gt;=80,"Bon",IF(U198&gt;=70,"Correct","À revoir"))))))</x:f>
      </x:c>
      <x:c r="W198" s="12"/>
      <x:c r="X198" s="12"/>
      <x:c r="Y198" s="12"/>
      <x:c r="Z198" s="12"/>
      <x:c r="AA198" s="12"/>
      <x:c r="AB198" s="12"/>
      <x:c r="AC198" s="12"/>
      <x:c r="AD198" s="12"/>
      <x:c r="AE198" s="38"/>
      <x:c r="AF198" s="40"/>
      <x:c r="AG198" s="12"/>
      <x:c r="AH198" s="12"/>
      <x:c r="AI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 t="str">
        <x:f>IF(OR(H199="",J199=""),"", "https://www.amazon.fr/dp/"&amp;H199&amp;"?tag="&amp;J199)</x:f>
      </x:c>
      <x:c r="L199" s="12"/>
      <x:c r="M199" s="36"/>
      <x:c r="N199" s="12"/>
      <x:c r="O199" s="12"/>
      <x:c r="P199" s="12"/>
      <x:c r="Q199" s="12"/>
      <x:c r="R199" s="12"/>
      <x:c r="S199" s="12"/>
      <x:c r="T199" s="12"/>
      <x:c r="U199" s="12" t="str">
        <x:f>IF(COUNTA(O199:T199)=0,"",SUM(O199:T199))</x:f>
      </x:c>
      <x:c r="V199" s="12" t="str">
        <x:f>IF(U199="","",IF(U199&gt;=95,"Exceptionnel",IF(U199&gt;=90,"Excellent",IF(U199&gt;=85,"Très bon",IF(U199&gt;=80,"Bon",IF(U199&gt;=70,"Correct","À revoir"))))))</x:f>
      </x:c>
      <x:c r="W199" s="12"/>
      <x:c r="X199" s="12"/>
      <x:c r="Y199" s="12"/>
      <x:c r="Z199" s="12"/>
      <x:c r="AA199" s="12"/>
      <x:c r="AB199" s="12"/>
      <x:c r="AC199" s="12"/>
      <x:c r="AD199" s="12"/>
      <x:c r="AE199" s="38"/>
      <x:c r="AF199" s="40"/>
      <x:c r="AG199" s="12"/>
      <x:c r="AH199" s="12"/>
      <x:c r="AI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 t="str">
        <x:f>IF(OR(H200="",J200=""),"", "https://www.amazon.fr/dp/"&amp;H200&amp;"?tag="&amp;J200)</x:f>
      </x:c>
      <x:c r="L200" s="12"/>
      <x:c r="M200" s="36"/>
      <x:c r="N200" s="12"/>
      <x:c r="O200" s="12"/>
      <x:c r="P200" s="12"/>
      <x:c r="Q200" s="12"/>
      <x:c r="R200" s="12"/>
      <x:c r="S200" s="12"/>
      <x:c r="T200" s="12"/>
      <x:c r="U200" s="12" t="str">
        <x:f>IF(COUNTA(O200:T200)=0,"",SUM(O200:T200))</x:f>
      </x:c>
      <x:c r="V200" s="12" t="str">
        <x:f>IF(U200="","",IF(U200&gt;=95,"Exceptionnel",IF(U200&gt;=90,"Excellent",IF(U200&gt;=85,"Très bon",IF(U200&gt;=80,"Bon",IF(U200&gt;=70,"Correct","À revoir"))))))</x:f>
      </x:c>
      <x:c r="W200" s="12"/>
      <x:c r="X200" s="12"/>
      <x:c r="Y200" s="12"/>
      <x:c r="Z200" s="12"/>
      <x:c r="AA200" s="12"/>
      <x:c r="AB200" s="12"/>
      <x:c r="AC200" s="12"/>
      <x:c r="AD200" s="12"/>
      <x:c r="AE200" s="38"/>
      <x:c r="AF200" s="40"/>
      <x:c r="AG200" s="12"/>
      <x:c r="AH200" s="12"/>
      <x:c r="AI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 t="str">
        <x:f>IF(OR(H201="",J201=""),"", "https://www.amazon.fr/dp/"&amp;H201&amp;"?tag="&amp;J201)</x:f>
      </x:c>
      <x:c r="L201" s="12"/>
      <x:c r="M201" s="36"/>
      <x:c r="N201" s="12"/>
      <x:c r="O201" s="12"/>
      <x:c r="P201" s="12"/>
      <x:c r="Q201" s="12"/>
      <x:c r="R201" s="12"/>
      <x:c r="S201" s="12"/>
      <x:c r="T201" s="12"/>
      <x:c r="U201" s="12" t="str">
        <x:f>IF(COUNTA(O201:T201)=0,"",SUM(O201:T201))</x:f>
      </x:c>
      <x:c r="V201" s="12" t="str">
        <x:f>IF(U201="","",IF(U201&gt;=95,"Exceptionnel",IF(U201&gt;=90,"Excellent",IF(U201&gt;=85,"Très bon",IF(U201&gt;=80,"Bon",IF(U201&gt;=70,"Correct","À revoir"))))))</x:f>
      </x:c>
      <x:c r="W201" s="12"/>
      <x:c r="X201" s="12"/>
      <x:c r="Y201" s="12"/>
      <x:c r="Z201" s="12"/>
      <x:c r="AA201" s="12"/>
      <x:c r="AB201" s="12"/>
      <x:c r="AC201" s="12"/>
      <x:c r="AD201" s="12"/>
      <x:c r="AE201" s="38"/>
      <x:c r="AF201" s="40"/>
      <x:c r="AG201" s="12"/>
      <x:c r="AH201" s="12"/>
      <x:c r="AI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 t="str">
        <x:f>IF(OR(H202="",J202=""),"", "https://www.amazon.fr/dp/"&amp;H202&amp;"?tag="&amp;J202)</x:f>
      </x:c>
      <x:c r="L202" s="12"/>
      <x:c r="M202" s="36"/>
      <x:c r="N202" s="12"/>
      <x:c r="O202" s="12"/>
      <x:c r="P202" s="12"/>
      <x:c r="Q202" s="12"/>
      <x:c r="R202" s="12"/>
      <x:c r="S202" s="12"/>
      <x:c r="T202" s="12"/>
      <x:c r="U202" s="12" t="str">
        <x:f>IF(COUNTA(O202:T202)=0,"",SUM(O202:T202))</x:f>
      </x:c>
      <x:c r="V202" s="12" t="str">
        <x:f>IF(U202="","",IF(U202&gt;=95,"Exceptionnel",IF(U202&gt;=90,"Excellent",IF(U202&gt;=85,"Très bon",IF(U202&gt;=80,"Bon",IF(U202&gt;=70,"Correct","À revoir"))))))</x:f>
      </x:c>
      <x:c r="W202" s="12"/>
      <x:c r="X202" s="12"/>
      <x:c r="Y202" s="12"/>
      <x:c r="Z202" s="12"/>
      <x:c r="AA202" s="12"/>
      <x:c r="AB202" s="12"/>
      <x:c r="AC202" s="12"/>
      <x:c r="AD202" s="12"/>
      <x:c r="AE202" s="38"/>
      <x:c r="AF202" s="40"/>
      <x:c r="AG202" s="12"/>
      <x:c r="AH202" s="12"/>
      <x:c r="AI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 t="str">
        <x:f>IF(OR(H203="",J203=""),"", "https://www.amazon.fr/dp/"&amp;H203&amp;"?tag="&amp;J203)</x:f>
      </x:c>
      <x:c r="L203" s="12"/>
      <x:c r="M203" s="36"/>
      <x:c r="N203" s="12"/>
      <x:c r="O203" s="12"/>
      <x:c r="P203" s="12"/>
      <x:c r="Q203" s="12"/>
      <x:c r="R203" s="12"/>
      <x:c r="S203" s="12"/>
      <x:c r="T203" s="12"/>
      <x:c r="U203" s="12" t="str">
        <x:f>IF(COUNTA(O203:T203)=0,"",SUM(O203:T203))</x:f>
      </x:c>
      <x:c r="V203" s="12" t="str">
        <x:f>IF(U203="","",IF(U203&gt;=95,"Exceptionnel",IF(U203&gt;=90,"Excellent",IF(U203&gt;=85,"Très bon",IF(U203&gt;=80,"Bon",IF(U203&gt;=70,"Correct","À revoir"))))))</x:f>
      </x:c>
      <x:c r="W203" s="12"/>
      <x:c r="X203" s="12"/>
      <x:c r="Y203" s="12"/>
      <x:c r="Z203" s="12"/>
      <x:c r="AA203" s="12"/>
      <x:c r="AB203" s="12"/>
      <x:c r="AC203" s="12"/>
      <x:c r="AD203" s="12"/>
      <x:c r="AE203" s="38"/>
      <x:c r="AF203" s="40"/>
      <x:c r="AG203" s="12"/>
      <x:c r="AH203" s="12"/>
      <x:c r="AI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 t="str">
        <x:f>IF(OR(H204="",J204=""),"", "https://www.amazon.fr/dp/"&amp;H204&amp;"?tag="&amp;J204)</x:f>
      </x:c>
      <x:c r="L204" s="12"/>
      <x:c r="M204" s="36"/>
      <x:c r="N204" s="12"/>
      <x:c r="O204" s="12"/>
      <x:c r="P204" s="12"/>
      <x:c r="Q204" s="12"/>
      <x:c r="R204" s="12"/>
      <x:c r="S204" s="12"/>
      <x:c r="T204" s="12"/>
      <x:c r="U204" s="12" t="str">
        <x:f>IF(COUNTA(O204:T204)=0,"",SUM(O204:T204))</x:f>
      </x:c>
      <x:c r="V204" s="12" t="str">
        <x:f>IF(U204="","",IF(U204&gt;=95,"Exceptionnel",IF(U204&gt;=90,"Excellent",IF(U204&gt;=85,"Très bon",IF(U204&gt;=80,"Bon",IF(U204&gt;=70,"Correct","À revoir"))))))</x:f>
      </x:c>
      <x:c r="W204" s="12"/>
      <x:c r="X204" s="12"/>
      <x:c r="Y204" s="12"/>
      <x:c r="Z204" s="12"/>
      <x:c r="AA204" s="12"/>
      <x:c r="AB204" s="12"/>
      <x:c r="AC204" s="12"/>
      <x:c r="AD204" s="12"/>
      <x:c r="AE204" s="38"/>
      <x:c r="AF204" s="40"/>
      <x:c r="AG204" s="12"/>
      <x:c r="AH204" s="12"/>
      <x:c r="AI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 t="str">
        <x:f>IF(OR(H205="",J205=""),"", "https://www.amazon.fr/dp/"&amp;H205&amp;"?tag="&amp;J205)</x:f>
      </x:c>
      <x:c r="L205" s="12"/>
      <x:c r="M205" s="36"/>
      <x:c r="N205" s="12"/>
      <x:c r="O205" s="12"/>
      <x:c r="P205" s="12"/>
      <x:c r="Q205" s="12"/>
      <x:c r="R205" s="12"/>
      <x:c r="S205" s="12"/>
      <x:c r="T205" s="12"/>
      <x:c r="U205" s="12" t="str">
        <x:f>IF(COUNTA(O205:T205)=0,"",SUM(O205:T205))</x:f>
      </x:c>
      <x:c r="V205" s="12" t="str">
        <x:f>IF(U205="","",IF(U205&gt;=95,"Exceptionnel",IF(U205&gt;=90,"Excellent",IF(U205&gt;=85,"Très bon",IF(U205&gt;=80,"Bon",IF(U205&gt;=70,"Correct","À revoir"))))))</x:f>
      </x:c>
      <x:c r="W205" s="12"/>
      <x:c r="X205" s="12"/>
      <x:c r="Y205" s="12"/>
      <x:c r="Z205" s="12"/>
      <x:c r="AA205" s="12"/>
      <x:c r="AB205" s="12"/>
      <x:c r="AC205" s="12"/>
      <x:c r="AD205" s="12"/>
      <x:c r="AE205" s="38"/>
      <x:c r="AF205" s="40"/>
      <x:c r="AG205" s="12"/>
      <x:c r="AH205" s="12"/>
      <x:c r="AI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 t="str">
        <x:f>IF(OR(H206="",J206=""),"", "https://www.amazon.fr/dp/"&amp;H206&amp;"?tag="&amp;J206)</x:f>
      </x:c>
      <x:c r="L206" s="12"/>
      <x:c r="M206" s="36"/>
      <x:c r="N206" s="12"/>
      <x:c r="O206" s="12"/>
      <x:c r="P206" s="12"/>
      <x:c r="Q206" s="12"/>
      <x:c r="R206" s="12"/>
      <x:c r="S206" s="12"/>
      <x:c r="T206" s="12"/>
      <x:c r="U206" s="12" t="str">
        <x:f>IF(COUNTA(O206:T206)=0,"",SUM(O206:T206))</x:f>
      </x:c>
      <x:c r="V206" s="12" t="str">
        <x:f>IF(U206="","",IF(U206&gt;=95,"Exceptionnel",IF(U206&gt;=90,"Excellent",IF(U206&gt;=85,"Très bon",IF(U206&gt;=80,"Bon",IF(U206&gt;=70,"Correct","À revoir"))))))</x:f>
      </x:c>
      <x:c r="W206" s="12"/>
      <x:c r="X206" s="12"/>
      <x:c r="Y206" s="12"/>
      <x:c r="Z206" s="12"/>
      <x:c r="AA206" s="12"/>
      <x:c r="AB206" s="12"/>
      <x:c r="AC206" s="12"/>
      <x:c r="AD206" s="12"/>
      <x:c r="AE206" s="38"/>
      <x:c r="AF206" s="40"/>
      <x:c r="AG206" s="12"/>
      <x:c r="AH206" s="12"/>
      <x:c r="AI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 t="str">
        <x:f>IF(OR(H207="",J207=""),"", "https://www.amazon.fr/dp/"&amp;H207&amp;"?tag="&amp;J207)</x:f>
      </x:c>
      <x:c r="L207" s="12"/>
      <x:c r="M207" s="36"/>
      <x:c r="N207" s="12"/>
      <x:c r="O207" s="12"/>
      <x:c r="P207" s="12"/>
      <x:c r="Q207" s="12"/>
      <x:c r="R207" s="12"/>
      <x:c r="S207" s="12"/>
      <x:c r="T207" s="12"/>
      <x:c r="U207" s="12" t="str">
        <x:f>IF(COUNTA(O207:T207)=0,"",SUM(O207:T207))</x:f>
      </x:c>
      <x:c r="V207" s="12" t="str">
        <x:f>IF(U207="","",IF(U207&gt;=95,"Exceptionnel",IF(U207&gt;=90,"Excellent",IF(U207&gt;=85,"Très bon",IF(U207&gt;=80,"Bon",IF(U207&gt;=70,"Correct","À revoir"))))))</x:f>
      </x:c>
      <x:c r="W207" s="12"/>
      <x:c r="X207" s="12"/>
      <x:c r="Y207" s="12"/>
      <x:c r="Z207" s="12"/>
      <x:c r="AA207" s="12"/>
      <x:c r="AB207" s="12"/>
      <x:c r="AC207" s="12"/>
      <x:c r="AD207" s="12"/>
      <x:c r="AE207" s="38"/>
      <x:c r="AF207" s="40"/>
      <x:c r="AG207" s="12"/>
      <x:c r="AH207" s="12"/>
      <x:c r="AI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 t="str">
        <x:f>IF(OR(H208="",J208=""),"", "https://www.amazon.fr/dp/"&amp;H208&amp;"?tag="&amp;J208)</x:f>
      </x:c>
      <x:c r="L208" s="12"/>
      <x:c r="M208" s="36"/>
      <x:c r="N208" s="12"/>
      <x:c r="O208" s="12"/>
      <x:c r="P208" s="12"/>
      <x:c r="Q208" s="12"/>
      <x:c r="R208" s="12"/>
      <x:c r="S208" s="12"/>
      <x:c r="T208" s="12"/>
      <x:c r="U208" s="12" t="str">
        <x:f>IF(COUNTA(O208:T208)=0,"",SUM(O208:T208))</x:f>
      </x:c>
      <x:c r="V208" s="12" t="str">
        <x:f>IF(U208="","",IF(U208&gt;=95,"Exceptionnel",IF(U208&gt;=90,"Excellent",IF(U208&gt;=85,"Très bon",IF(U208&gt;=80,"Bon",IF(U208&gt;=70,"Correct","À revoir"))))))</x:f>
      </x:c>
      <x:c r="W208" s="12"/>
      <x:c r="X208" s="12"/>
      <x:c r="Y208" s="12"/>
      <x:c r="Z208" s="12"/>
      <x:c r="AA208" s="12"/>
      <x:c r="AB208" s="12"/>
      <x:c r="AC208" s="12"/>
      <x:c r="AD208" s="12"/>
      <x:c r="AE208" s="38"/>
      <x:c r="AF208" s="40"/>
      <x:c r="AG208" s="12"/>
      <x:c r="AH208" s="12"/>
      <x:c r="AI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 t="str">
        <x:f>IF(OR(H209="",J209=""),"", "https://www.amazon.fr/dp/"&amp;H209&amp;"?tag="&amp;J209)</x:f>
      </x:c>
      <x:c r="L209" s="12"/>
      <x:c r="M209" s="36"/>
      <x:c r="N209" s="12"/>
      <x:c r="O209" s="12"/>
      <x:c r="P209" s="12"/>
      <x:c r="Q209" s="12"/>
      <x:c r="R209" s="12"/>
      <x:c r="S209" s="12"/>
      <x:c r="T209" s="12"/>
      <x:c r="U209" s="12" t="str">
        <x:f>IF(COUNTA(O209:T209)=0,"",SUM(O209:T209))</x:f>
      </x:c>
      <x:c r="V209" s="12" t="str">
        <x:f>IF(U209="","",IF(U209&gt;=95,"Exceptionnel",IF(U209&gt;=90,"Excellent",IF(U209&gt;=85,"Très bon",IF(U209&gt;=80,"Bon",IF(U209&gt;=70,"Correct","À revoir"))))))</x:f>
      </x:c>
      <x:c r="W209" s="12"/>
      <x:c r="X209" s="12"/>
      <x:c r="Y209" s="12"/>
      <x:c r="Z209" s="12"/>
      <x:c r="AA209" s="12"/>
      <x:c r="AB209" s="12"/>
      <x:c r="AC209" s="12"/>
      <x:c r="AD209" s="12"/>
      <x:c r="AE209" s="38"/>
      <x:c r="AF209" s="40"/>
      <x:c r="AG209" s="12"/>
      <x:c r="AH209" s="12"/>
      <x:c r="AI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 t="str">
        <x:f>IF(OR(H210="",J210=""),"", "https://www.amazon.fr/dp/"&amp;H210&amp;"?tag="&amp;J210)</x:f>
      </x:c>
      <x:c r="L210" s="12"/>
      <x:c r="M210" s="36"/>
      <x:c r="N210" s="12"/>
      <x:c r="O210" s="12"/>
      <x:c r="P210" s="12"/>
      <x:c r="Q210" s="12"/>
      <x:c r="R210" s="12"/>
      <x:c r="S210" s="12"/>
      <x:c r="T210" s="12"/>
      <x:c r="U210" s="12" t="str">
        <x:f>IF(COUNTA(O210:T210)=0,"",SUM(O210:T210))</x:f>
      </x:c>
      <x:c r="V210" s="12" t="str">
        <x:f>IF(U210="","",IF(U210&gt;=95,"Exceptionnel",IF(U210&gt;=90,"Excellent",IF(U210&gt;=85,"Très bon",IF(U210&gt;=80,"Bon",IF(U210&gt;=70,"Correct","À revoir"))))))</x:f>
      </x:c>
      <x:c r="W210" s="12"/>
      <x:c r="X210" s="12"/>
      <x:c r="Y210" s="12"/>
      <x:c r="Z210" s="12"/>
      <x:c r="AA210" s="12"/>
      <x:c r="AB210" s="12"/>
      <x:c r="AC210" s="12"/>
      <x:c r="AD210" s="12"/>
      <x:c r="AE210" s="38"/>
      <x:c r="AF210" s="40"/>
      <x:c r="AG210" s="12"/>
      <x:c r="AH210" s="12"/>
      <x:c r="AI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 t="str">
        <x:f>IF(OR(H211="",J211=""),"", "https://www.amazon.fr/dp/"&amp;H211&amp;"?tag="&amp;J211)</x:f>
      </x:c>
      <x:c r="L211" s="12"/>
      <x:c r="M211" s="36"/>
      <x:c r="N211" s="12"/>
      <x:c r="O211" s="12"/>
      <x:c r="P211" s="12"/>
      <x:c r="Q211" s="12"/>
      <x:c r="R211" s="12"/>
      <x:c r="S211" s="12"/>
      <x:c r="T211" s="12"/>
      <x:c r="U211" s="12" t="str">
        <x:f>IF(COUNTA(O211:T211)=0,"",SUM(O211:T211))</x:f>
      </x:c>
      <x:c r="V211" s="12" t="str">
        <x:f>IF(U211="","",IF(U211&gt;=95,"Exceptionnel",IF(U211&gt;=90,"Excellent",IF(U211&gt;=85,"Très bon",IF(U211&gt;=80,"Bon",IF(U211&gt;=70,"Correct","À revoir"))))))</x:f>
      </x:c>
      <x:c r="W211" s="12"/>
      <x:c r="X211" s="12"/>
      <x:c r="Y211" s="12"/>
      <x:c r="Z211" s="12"/>
      <x:c r="AA211" s="12"/>
      <x:c r="AB211" s="12"/>
      <x:c r="AC211" s="12"/>
      <x:c r="AD211" s="12"/>
      <x:c r="AE211" s="38"/>
      <x:c r="AF211" s="40"/>
      <x:c r="AG211" s="12"/>
      <x:c r="AH211" s="12"/>
      <x:c r="AI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 t="str">
        <x:f>IF(OR(H212="",J212=""),"", "https://www.amazon.fr/dp/"&amp;H212&amp;"?tag="&amp;J212)</x:f>
      </x:c>
      <x:c r="L212" s="12"/>
      <x:c r="M212" s="36"/>
      <x:c r="N212" s="12"/>
      <x:c r="O212" s="12"/>
      <x:c r="P212" s="12"/>
      <x:c r="Q212" s="12"/>
      <x:c r="R212" s="12"/>
      <x:c r="S212" s="12"/>
      <x:c r="T212" s="12"/>
      <x:c r="U212" s="12" t="str">
        <x:f>IF(COUNTA(O212:T212)=0,"",SUM(O212:T212))</x:f>
      </x:c>
      <x:c r="V212" s="12" t="str">
        <x:f>IF(U212="","",IF(U212&gt;=95,"Exceptionnel",IF(U212&gt;=90,"Excellent",IF(U212&gt;=85,"Très bon",IF(U212&gt;=80,"Bon",IF(U212&gt;=70,"Correct","À revoir"))))))</x:f>
      </x:c>
      <x:c r="W212" s="12"/>
      <x:c r="X212" s="12"/>
      <x:c r="Y212" s="12"/>
      <x:c r="Z212" s="12"/>
      <x:c r="AA212" s="12"/>
      <x:c r="AB212" s="12"/>
      <x:c r="AC212" s="12"/>
      <x:c r="AD212" s="12"/>
      <x:c r="AE212" s="38"/>
      <x:c r="AF212" s="40"/>
      <x:c r="AG212" s="12"/>
      <x:c r="AH212" s="12"/>
      <x:c r="AI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 t="str">
        <x:f>IF(OR(H213="",J213=""),"", "https://www.amazon.fr/dp/"&amp;H213&amp;"?tag="&amp;J213)</x:f>
      </x:c>
      <x:c r="L213" s="12"/>
      <x:c r="M213" s="36"/>
      <x:c r="N213" s="12"/>
      <x:c r="O213" s="12"/>
      <x:c r="P213" s="12"/>
      <x:c r="Q213" s="12"/>
      <x:c r="R213" s="12"/>
      <x:c r="S213" s="12"/>
      <x:c r="T213" s="12"/>
      <x:c r="U213" s="12" t="str">
        <x:f>IF(COUNTA(O213:T213)=0,"",SUM(O213:T213))</x:f>
      </x:c>
      <x:c r="V213" s="12" t="str">
        <x:f>IF(U213="","",IF(U213&gt;=95,"Exceptionnel",IF(U213&gt;=90,"Excellent",IF(U213&gt;=85,"Très bon",IF(U213&gt;=80,"Bon",IF(U213&gt;=70,"Correct","À revoir"))))))</x:f>
      </x:c>
      <x:c r="W213" s="12"/>
      <x:c r="X213" s="12"/>
      <x:c r="Y213" s="12"/>
      <x:c r="Z213" s="12"/>
      <x:c r="AA213" s="12"/>
      <x:c r="AB213" s="12"/>
      <x:c r="AC213" s="12"/>
      <x:c r="AD213" s="12"/>
      <x:c r="AE213" s="38"/>
      <x:c r="AF213" s="40"/>
      <x:c r="AG213" s="12"/>
      <x:c r="AH213" s="12"/>
      <x:c r="AI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 t="str">
        <x:f>IF(OR(H214="",J214=""),"", "https://www.amazon.fr/dp/"&amp;H214&amp;"?tag="&amp;J214)</x:f>
      </x:c>
      <x:c r="L214" s="12"/>
      <x:c r="M214" s="36"/>
      <x:c r="N214" s="12"/>
      <x:c r="O214" s="12"/>
      <x:c r="P214" s="12"/>
      <x:c r="Q214" s="12"/>
      <x:c r="R214" s="12"/>
      <x:c r="S214" s="12"/>
      <x:c r="T214" s="12"/>
      <x:c r="U214" s="12" t="str">
        <x:f>IF(COUNTA(O214:T214)=0,"",SUM(O214:T214))</x:f>
      </x:c>
      <x:c r="V214" s="12" t="str">
        <x:f>IF(U214="","",IF(U214&gt;=95,"Exceptionnel",IF(U214&gt;=90,"Excellent",IF(U214&gt;=85,"Très bon",IF(U214&gt;=80,"Bon",IF(U214&gt;=70,"Correct","À revoir"))))))</x:f>
      </x:c>
      <x:c r="W214" s="12"/>
      <x:c r="X214" s="12"/>
      <x:c r="Y214" s="12"/>
      <x:c r="Z214" s="12"/>
      <x:c r="AA214" s="12"/>
      <x:c r="AB214" s="12"/>
      <x:c r="AC214" s="12"/>
      <x:c r="AD214" s="12"/>
      <x:c r="AE214" s="38"/>
      <x:c r="AF214" s="40"/>
      <x:c r="AG214" s="12"/>
      <x:c r="AH214" s="12"/>
      <x:c r="AI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 t="str">
        <x:f>IF(OR(H215="",J215=""),"", "https://www.amazon.fr/dp/"&amp;H215&amp;"?tag="&amp;J215)</x:f>
      </x:c>
      <x:c r="L215" s="12"/>
      <x:c r="M215" s="36"/>
      <x:c r="N215" s="12"/>
      <x:c r="O215" s="12"/>
      <x:c r="P215" s="12"/>
      <x:c r="Q215" s="12"/>
      <x:c r="R215" s="12"/>
      <x:c r="S215" s="12"/>
      <x:c r="T215" s="12"/>
      <x:c r="U215" s="12" t="str">
        <x:f>IF(COUNTA(O215:T215)=0,"",SUM(O215:T215))</x:f>
      </x:c>
      <x:c r="V215" s="12" t="str">
        <x:f>IF(U215="","",IF(U215&gt;=95,"Exceptionnel",IF(U215&gt;=90,"Excellent",IF(U215&gt;=85,"Très bon",IF(U215&gt;=80,"Bon",IF(U215&gt;=70,"Correct","À revoir"))))))</x:f>
      </x:c>
      <x:c r="W215" s="12"/>
      <x:c r="X215" s="12"/>
      <x:c r="Y215" s="12"/>
      <x:c r="Z215" s="12"/>
      <x:c r="AA215" s="12"/>
      <x:c r="AB215" s="12"/>
      <x:c r="AC215" s="12"/>
      <x:c r="AD215" s="12"/>
      <x:c r="AE215" s="38"/>
      <x:c r="AF215" s="40"/>
      <x:c r="AG215" s="12"/>
      <x:c r="AH215" s="12"/>
      <x:c r="AI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 t="str">
        <x:f>IF(OR(H216="",J216=""),"", "https://www.amazon.fr/dp/"&amp;H216&amp;"?tag="&amp;J216)</x:f>
      </x:c>
      <x:c r="L216" s="12"/>
      <x:c r="M216" s="36"/>
      <x:c r="N216" s="12"/>
      <x:c r="O216" s="12"/>
      <x:c r="P216" s="12"/>
      <x:c r="Q216" s="12"/>
      <x:c r="R216" s="12"/>
      <x:c r="S216" s="12"/>
      <x:c r="T216" s="12"/>
      <x:c r="U216" s="12" t="str">
        <x:f>IF(COUNTA(O216:T216)=0,"",SUM(O216:T216))</x:f>
      </x:c>
      <x:c r="V216" s="12" t="str">
        <x:f>IF(U216="","",IF(U216&gt;=95,"Exceptionnel",IF(U216&gt;=90,"Excellent",IF(U216&gt;=85,"Très bon",IF(U216&gt;=80,"Bon",IF(U216&gt;=70,"Correct","À revoir"))))))</x:f>
      </x:c>
      <x:c r="W216" s="12"/>
      <x:c r="X216" s="12"/>
      <x:c r="Y216" s="12"/>
      <x:c r="Z216" s="12"/>
      <x:c r="AA216" s="12"/>
      <x:c r="AB216" s="12"/>
      <x:c r="AC216" s="12"/>
      <x:c r="AD216" s="12"/>
      <x:c r="AE216" s="38"/>
      <x:c r="AF216" s="40"/>
      <x:c r="AG216" s="12"/>
      <x:c r="AH216" s="12"/>
      <x:c r="AI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 t="str">
        <x:f>IF(OR(H217="",J217=""),"", "https://www.amazon.fr/dp/"&amp;H217&amp;"?tag="&amp;J217)</x:f>
      </x:c>
      <x:c r="L217" s="12"/>
      <x:c r="M217" s="36"/>
      <x:c r="N217" s="12"/>
      <x:c r="O217" s="12"/>
      <x:c r="P217" s="12"/>
      <x:c r="Q217" s="12"/>
      <x:c r="R217" s="12"/>
      <x:c r="S217" s="12"/>
      <x:c r="T217" s="12"/>
      <x:c r="U217" s="12" t="str">
        <x:f>IF(COUNTA(O217:T217)=0,"",SUM(O217:T217))</x:f>
      </x:c>
      <x:c r="V217" s="12" t="str">
        <x:f>IF(U217="","",IF(U217&gt;=95,"Exceptionnel",IF(U217&gt;=90,"Excellent",IF(U217&gt;=85,"Très bon",IF(U217&gt;=80,"Bon",IF(U217&gt;=70,"Correct","À revoir"))))))</x:f>
      </x:c>
      <x:c r="W217" s="12"/>
      <x:c r="X217" s="12"/>
      <x:c r="Y217" s="12"/>
      <x:c r="Z217" s="12"/>
      <x:c r="AA217" s="12"/>
      <x:c r="AB217" s="12"/>
      <x:c r="AC217" s="12"/>
      <x:c r="AD217" s="12"/>
      <x:c r="AE217" s="38"/>
      <x:c r="AF217" s="40"/>
      <x:c r="AG217" s="12"/>
      <x:c r="AH217" s="12"/>
      <x:c r="AI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 t="str">
        <x:f>IF(OR(H218="",J218=""),"", "https://www.amazon.fr/dp/"&amp;H218&amp;"?tag="&amp;J218)</x:f>
      </x:c>
      <x:c r="L218" s="12"/>
      <x:c r="M218" s="36"/>
      <x:c r="N218" s="12"/>
      <x:c r="O218" s="12"/>
      <x:c r="P218" s="12"/>
      <x:c r="Q218" s="12"/>
      <x:c r="R218" s="12"/>
      <x:c r="S218" s="12"/>
      <x:c r="T218" s="12"/>
      <x:c r="U218" s="12" t="str">
        <x:f>IF(COUNTA(O218:T218)=0,"",SUM(O218:T218))</x:f>
      </x:c>
      <x:c r="V218" s="12" t="str">
        <x:f>IF(U218="","",IF(U218&gt;=95,"Exceptionnel",IF(U218&gt;=90,"Excellent",IF(U218&gt;=85,"Très bon",IF(U218&gt;=80,"Bon",IF(U218&gt;=70,"Correct","À revoir"))))))</x:f>
      </x:c>
      <x:c r="W218" s="12"/>
      <x:c r="X218" s="12"/>
      <x:c r="Y218" s="12"/>
      <x:c r="Z218" s="12"/>
      <x:c r="AA218" s="12"/>
      <x:c r="AB218" s="12"/>
      <x:c r="AC218" s="12"/>
      <x:c r="AD218" s="12"/>
      <x:c r="AE218" s="38"/>
      <x:c r="AF218" s="40"/>
      <x:c r="AG218" s="12"/>
      <x:c r="AH218" s="12"/>
      <x:c r="AI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 t="str">
        <x:f>IF(OR(H219="",J219=""),"", "https://www.amazon.fr/dp/"&amp;H219&amp;"?tag="&amp;J219)</x:f>
      </x:c>
      <x:c r="L219" s="12"/>
      <x:c r="M219" s="36"/>
      <x:c r="N219" s="12"/>
      <x:c r="O219" s="12"/>
      <x:c r="P219" s="12"/>
      <x:c r="Q219" s="12"/>
      <x:c r="R219" s="12"/>
      <x:c r="S219" s="12"/>
      <x:c r="T219" s="12"/>
      <x:c r="U219" s="12" t="str">
        <x:f>IF(COUNTA(O219:T219)=0,"",SUM(O219:T219))</x:f>
      </x:c>
      <x:c r="V219" s="12" t="str">
        <x:f>IF(U219="","",IF(U219&gt;=95,"Exceptionnel",IF(U219&gt;=90,"Excellent",IF(U219&gt;=85,"Très bon",IF(U219&gt;=80,"Bon",IF(U219&gt;=70,"Correct","À revoir"))))))</x:f>
      </x:c>
      <x:c r="W219" s="12"/>
      <x:c r="X219" s="12"/>
      <x:c r="Y219" s="12"/>
      <x:c r="Z219" s="12"/>
      <x:c r="AA219" s="12"/>
      <x:c r="AB219" s="12"/>
      <x:c r="AC219" s="12"/>
      <x:c r="AD219" s="12"/>
      <x:c r="AE219" s="38"/>
      <x:c r="AF219" s="40"/>
      <x:c r="AG219" s="12"/>
      <x:c r="AH219" s="12"/>
      <x:c r="AI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 t="str">
        <x:f>IF(OR(H220="",J220=""),"", "https://www.amazon.fr/dp/"&amp;H220&amp;"?tag="&amp;J220)</x:f>
      </x:c>
      <x:c r="L220" s="12"/>
      <x:c r="M220" s="36"/>
      <x:c r="N220" s="12"/>
      <x:c r="O220" s="12"/>
      <x:c r="P220" s="12"/>
      <x:c r="Q220" s="12"/>
      <x:c r="R220" s="12"/>
      <x:c r="S220" s="12"/>
      <x:c r="T220" s="12"/>
      <x:c r="U220" s="12" t="str">
        <x:f>IF(COUNTA(O220:T220)=0,"",SUM(O220:T220))</x:f>
      </x:c>
      <x:c r="V220" s="12" t="str">
        <x:f>IF(U220="","",IF(U220&gt;=95,"Exceptionnel",IF(U220&gt;=90,"Excellent",IF(U220&gt;=85,"Très bon",IF(U220&gt;=80,"Bon",IF(U220&gt;=70,"Correct","À revoir"))))))</x:f>
      </x:c>
      <x:c r="W220" s="12"/>
      <x:c r="X220" s="12"/>
      <x:c r="Y220" s="12"/>
      <x:c r="Z220" s="12"/>
      <x:c r="AA220" s="12"/>
      <x:c r="AB220" s="12"/>
      <x:c r="AC220" s="12"/>
      <x:c r="AD220" s="12"/>
      <x:c r="AE220" s="38"/>
      <x:c r="AF220" s="40"/>
      <x:c r="AG220" s="12"/>
      <x:c r="AH220" s="12"/>
      <x:c r="AI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 t="str">
        <x:f>IF(OR(H221="",J221=""),"", "https://www.amazon.fr/dp/"&amp;H221&amp;"?tag="&amp;J221)</x:f>
      </x:c>
      <x:c r="L221" s="12"/>
      <x:c r="M221" s="36"/>
      <x:c r="N221" s="12"/>
      <x:c r="O221" s="12"/>
      <x:c r="P221" s="12"/>
      <x:c r="Q221" s="12"/>
      <x:c r="R221" s="12"/>
      <x:c r="S221" s="12"/>
      <x:c r="T221" s="12"/>
      <x:c r="U221" s="12" t="str">
        <x:f>IF(COUNTA(O221:T221)=0,"",SUM(O221:T221))</x:f>
      </x:c>
      <x:c r="V221" s="12" t="str">
        <x:f>IF(U221="","",IF(U221&gt;=95,"Exceptionnel",IF(U221&gt;=90,"Excellent",IF(U221&gt;=85,"Très bon",IF(U221&gt;=80,"Bon",IF(U221&gt;=70,"Correct","À revoir"))))))</x:f>
      </x:c>
      <x:c r="W221" s="12"/>
      <x:c r="X221" s="12"/>
      <x:c r="Y221" s="12"/>
      <x:c r="Z221" s="12"/>
      <x:c r="AA221" s="12"/>
      <x:c r="AB221" s="12"/>
      <x:c r="AC221" s="12"/>
      <x:c r="AD221" s="12"/>
      <x:c r="AE221" s="38"/>
      <x:c r="AF221" s="40"/>
      <x:c r="AG221" s="12"/>
      <x:c r="AH221" s="12"/>
      <x:c r="AI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 t="str">
        <x:f>IF(OR(H222="",J222=""),"", "https://www.amazon.fr/dp/"&amp;H222&amp;"?tag="&amp;J222)</x:f>
      </x:c>
      <x:c r="L222" s="12"/>
      <x:c r="M222" s="36"/>
      <x:c r="N222" s="12"/>
      <x:c r="O222" s="12"/>
      <x:c r="P222" s="12"/>
      <x:c r="Q222" s="12"/>
      <x:c r="R222" s="12"/>
      <x:c r="S222" s="12"/>
      <x:c r="T222" s="12"/>
      <x:c r="U222" s="12" t="str">
        <x:f>IF(COUNTA(O222:T222)=0,"",SUM(O222:T222))</x:f>
      </x:c>
      <x:c r="V222" s="12" t="str">
        <x:f>IF(U222="","",IF(U222&gt;=95,"Exceptionnel",IF(U222&gt;=90,"Excellent",IF(U222&gt;=85,"Très bon",IF(U222&gt;=80,"Bon",IF(U222&gt;=70,"Correct","À revoir"))))))</x:f>
      </x:c>
      <x:c r="W222" s="12"/>
      <x:c r="X222" s="12"/>
      <x:c r="Y222" s="12"/>
      <x:c r="Z222" s="12"/>
      <x:c r="AA222" s="12"/>
      <x:c r="AB222" s="12"/>
      <x:c r="AC222" s="12"/>
      <x:c r="AD222" s="12"/>
      <x:c r="AE222" s="38"/>
      <x:c r="AF222" s="40"/>
      <x:c r="AG222" s="12"/>
      <x:c r="AH222" s="12"/>
      <x:c r="AI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 t="str">
        <x:f>IF(OR(H223="",J223=""),"", "https://www.amazon.fr/dp/"&amp;H223&amp;"?tag="&amp;J223)</x:f>
      </x:c>
      <x:c r="L223" s="12"/>
      <x:c r="M223" s="36"/>
      <x:c r="N223" s="12"/>
      <x:c r="O223" s="12"/>
      <x:c r="P223" s="12"/>
      <x:c r="Q223" s="12"/>
      <x:c r="R223" s="12"/>
      <x:c r="S223" s="12"/>
      <x:c r="T223" s="12"/>
      <x:c r="U223" s="12" t="str">
        <x:f>IF(COUNTA(O223:T223)=0,"",SUM(O223:T223))</x:f>
      </x:c>
      <x:c r="V223" s="12" t="str">
        <x:f>IF(U223="","",IF(U223&gt;=95,"Exceptionnel",IF(U223&gt;=90,"Excellent",IF(U223&gt;=85,"Très bon",IF(U223&gt;=80,"Bon",IF(U223&gt;=70,"Correct","À revoir"))))))</x:f>
      </x:c>
      <x:c r="W223" s="12"/>
      <x:c r="X223" s="12"/>
      <x:c r="Y223" s="12"/>
      <x:c r="Z223" s="12"/>
      <x:c r="AA223" s="12"/>
      <x:c r="AB223" s="12"/>
      <x:c r="AC223" s="12"/>
      <x:c r="AD223" s="12"/>
      <x:c r="AE223" s="38"/>
      <x:c r="AF223" s="40"/>
      <x:c r="AG223" s="12"/>
      <x:c r="AH223" s="12"/>
      <x:c r="AI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 t="str">
        <x:f>IF(OR(H224="",J224=""),"", "https://www.amazon.fr/dp/"&amp;H224&amp;"?tag="&amp;J224)</x:f>
      </x:c>
      <x:c r="L224" s="12"/>
      <x:c r="M224" s="36"/>
      <x:c r="N224" s="12"/>
      <x:c r="O224" s="12"/>
      <x:c r="P224" s="12"/>
      <x:c r="Q224" s="12"/>
      <x:c r="R224" s="12"/>
      <x:c r="S224" s="12"/>
      <x:c r="T224" s="12"/>
      <x:c r="U224" s="12" t="str">
        <x:f>IF(COUNTA(O224:T224)=0,"",SUM(O224:T224))</x:f>
      </x:c>
      <x:c r="V224" s="12" t="str">
        <x:f>IF(U224="","",IF(U224&gt;=95,"Exceptionnel",IF(U224&gt;=90,"Excellent",IF(U224&gt;=85,"Très bon",IF(U224&gt;=80,"Bon",IF(U224&gt;=70,"Correct","À revoir"))))))</x:f>
      </x:c>
      <x:c r="W224" s="12"/>
      <x:c r="X224" s="12"/>
      <x:c r="Y224" s="12"/>
      <x:c r="Z224" s="12"/>
      <x:c r="AA224" s="12"/>
      <x:c r="AB224" s="12"/>
      <x:c r="AC224" s="12"/>
      <x:c r="AD224" s="12"/>
      <x:c r="AE224" s="38"/>
      <x:c r="AF224" s="40"/>
      <x:c r="AG224" s="12"/>
      <x:c r="AH224" s="12"/>
      <x:c r="AI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 t="str">
        <x:f>IF(OR(H225="",J225=""),"", "https://www.amazon.fr/dp/"&amp;H225&amp;"?tag="&amp;J225)</x:f>
      </x:c>
      <x:c r="L225" s="12"/>
      <x:c r="M225" s="36"/>
      <x:c r="N225" s="12"/>
      <x:c r="O225" s="12"/>
      <x:c r="P225" s="12"/>
      <x:c r="Q225" s="12"/>
      <x:c r="R225" s="12"/>
      <x:c r="S225" s="12"/>
      <x:c r="T225" s="12"/>
      <x:c r="U225" s="12" t="str">
        <x:f>IF(COUNTA(O225:T225)=0,"",SUM(O225:T225))</x:f>
      </x:c>
      <x:c r="V225" s="12" t="str">
        <x:f>IF(U225="","",IF(U225&gt;=95,"Exceptionnel",IF(U225&gt;=90,"Excellent",IF(U225&gt;=85,"Très bon",IF(U225&gt;=80,"Bon",IF(U225&gt;=70,"Correct","À revoir"))))))</x:f>
      </x:c>
      <x:c r="W225" s="12"/>
      <x:c r="X225" s="12"/>
      <x:c r="Y225" s="12"/>
      <x:c r="Z225" s="12"/>
      <x:c r="AA225" s="12"/>
      <x:c r="AB225" s="12"/>
      <x:c r="AC225" s="12"/>
      <x:c r="AD225" s="12"/>
      <x:c r="AE225" s="38"/>
      <x:c r="AF225" s="40"/>
      <x:c r="AG225" s="12"/>
      <x:c r="AH225" s="12"/>
      <x:c r="AI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 t="str">
        <x:f>IF(OR(H226="",J226=""),"", "https://www.amazon.fr/dp/"&amp;H226&amp;"?tag="&amp;J226)</x:f>
      </x:c>
      <x:c r="L226" s="12"/>
      <x:c r="M226" s="36"/>
      <x:c r="N226" s="12"/>
      <x:c r="O226" s="12"/>
      <x:c r="P226" s="12"/>
      <x:c r="Q226" s="12"/>
      <x:c r="R226" s="12"/>
      <x:c r="S226" s="12"/>
      <x:c r="T226" s="12"/>
      <x:c r="U226" s="12" t="str">
        <x:f>IF(COUNTA(O226:T226)=0,"",SUM(O226:T226))</x:f>
      </x:c>
      <x:c r="V226" s="12" t="str">
        <x:f>IF(U226="","",IF(U226&gt;=95,"Exceptionnel",IF(U226&gt;=90,"Excellent",IF(U226&gt;=85,"Très bon",IF(U226&gt;=80,"Bon",IF(U226&gt;=70,"Correct","À revoir"))))))</x:f>
      </x:c>
      <x:c r="W226" s="12"/>
      <x:c r="X226" s="12"/>
      <x:c r="Y226" s="12"/>
      <x:c r="Z226" s="12"/>
      <x:c r="AA226" s="12"/>
      <x:c r="AB226" s="12"/>
      <x:c r="AC226" s="12"/>
      <x:c r="AD226" s="12"/>
      <x:c r="AE226" s="38"/>
      <x:c r="AF226" s="40"/>
      <x:c r="AG226" s="12"/>
      <x:c r="AH226" s="12"/>
      <x:c r="AI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 t="str">
        <x:f>IF(OR(H227="",J227=""),"", "https://www.amazon.fr/dp/"&amp;H227&amp;"?tag="&amp;J227)</x:f>
      </x:c>
      <x:c r="L227" s="12"/>
      <x:c r="M227" s="36"/>
      <x:c r="N227" s="12"/>
      <x:c r="O227" s="12"/>
      <x:c r="P227" s="12"/>
      <x:c r="Q227" s="12"/>
      <x:c r="R227" s="12"/>
      <x:c r="S227" s="12"/>
      <x:c r="T227" s="12"/>
      <x:c r="U227" s="12" t="str">
        <x:f>IF(COUNTA(O227:T227)=0,"",SUM(O227:T227))</x:f>
      </x:c>
      <x:c r="V227" s="12" t="str">
        <x:f>IF(U227="","",IF(U227&gt;=95,"Exceptionnel",IF(U227&gt;=90,"Excellent",IF(U227&gt;=85,"Très bon",IF(U227&gt;=80,"Bon",IF(U227&gt;=70,"Correct","À revoir"))))))</x:f>
      </x:c>
      <x:c r="W227" s="12"/>
      <x:c r="X227" s="12"/>
      <x:c r="Y227" s="12"/>
      <x:c r="Z227" s="12"/>
      <x:c r="AA227" s="12"/>
      <x:c r="AB227" s="12"/>
      <x:c r="AC227" s="12"/>
      <x:c r="AD227" s="12"/>
      <x:c r="AE227" s="38"/>
      <x:c r="AF227" s="40"/>
      <x:c r="AG227" s="12"/>
      <x:c r="AH227" s="12"/>
      <x:c r="AI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 t="str">
        <x:f>IF(OR(H228="",J228=""),"", "https://www.amazon.fr/dp/"&amp;H228&amp;"?tag="&amp;J228)</x:f>
      </x:c>
      <x:c r="L228" s="12"/>
      <x:c r="M228" s="36"/>
      <x:c r="N228" s="12"/>
      <x:c r="O228" s="12"/>
      <x:c r="P228" s="12"/>
      <x:c r="Q228" s="12"/>
      <x:c r="R228" s="12"/>
      <x:c r="S228" s="12"/>
      <x:c r="T228" s="12"/>
      <x:c r="U228" s="12" t="str">
        <x:f>IF(COUNTA(O228:T228)=0,"",SUM(O228:T228))</x:f>
      </x:c>
      <x:c r="V228" s="12" t="str">
        <x:f>IF(U228="","",IF(U228&gt;=95,"Exceptionnel",IF(U228&gt;=90,"Excellent",IF(U228&gt;=85,"Très bon",IF(U228&gt;=80,"Bon",IF(U228&gt;=70,"Correct","À revoir"))))))</x:f>
      </x:c>
      <x:c r="W228" s="12"/>
      <x:c r="X228" s="12"/>
      <x:c r="Y228" s="12"/>
      <x:c r="Z228" s="12"/>
      <x:c r="AA228" s="12"/>
      <x:c r="AB228" s="12"/>
      <x:c r="AC228" s="12"/>
      <x:c r="AD228" s="12"/>
      <x:c r="AE228" s="38"/>
      <x:c r="AF228" s="40"/>
      <x:c r="AG228" s="12"/>
      <x:c r="AH228" s="12"/>
      <x:c r="AI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 t="str">
        <x:f>IF(OR(H229="",J229=""),"", "https://www.amazon.fr/dp/"&amp;H229&amp;"?tag="&amp;J229)</x:f>
      </x:c>
      <x:c r="L229" s="12"/>
      <x:c r="M229" s="36"/>
      <x:c r="N229" s="12"/>
      <x:c r="O229" s="12"/>
      <x:c r="P229" s="12"/>
      <x:c r="Q229" s="12"/>
      <x:c r="R229" s="12"/>
      <x:c r="S229" s="12"/>
      <x:c r="T229" s="12"/>
      <x:c r="U229" s="12" t="str">
        <x:f>IF(COUNTA(O229:T229)=0,"",SUM(O229:T229))</x:f>
      </x:c>
      <x:c r="V229" s="12" t="str">
        <x:f>IF(U229="","",IF(U229&gt;=95,"Exceptionnel",IF(U229&gt;=90,"Excellent",IF(U229&gt;=85,"Très bon",IF(U229&gt;=80,"Bon",IF(U229&gt;=70,"Correct","À revoir"))))))</x:f>
      </x:c>
      <x:c r="W229" s="12"/>
      <x:c r="X229" s="12"/>
      <x:c r="Y229" s="12"/>
      <x:c r="Z229" s="12"/>
      <x:c r="AA229" s="12"/>
      <x:c r="AB229" s="12"/>
      <x:c r="AC229" s="12"/>
      <x:c r="AD229" s="12"/>
      <x:c r="AE229" s="38"/>
      <x:c r="AF229" s="40"/>
      <x:c r="AG229" s="12"/>
      <x:c r="AH229" s="12"/>
      <x:c r="AI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 t="str">
        <x:f>IF(OR(H230="",J230=""),"", "https://www.amazon.fr/dp/"&amp;H230&amp;"?tag="&amp;J230)</x:f>
      </x:c>
      <x:c r="L230" s="12"/>
      <x:c r="M230" s="36"/>
      <x:c r="N230" s="12"/>
      <x:c r="O230" s="12"/>
      <x:c r="P230" s="12"/>
      <x:c r="Q230" s="12"/>
      <x:c r="R230" s="12"/>
      <x:c r="S230" s="12"/>
      <x:c r="T230" s="12"/>
      <x:c r="U230" s="12" t="str">
        <x:f>IF(COUNTA(O230:T230)=0,"",SUM(O230:T230))</x:f>
      </x:c>
      <x:c r="V230" s="12" t="str">
        <x:f>IF(U230="","",IF(U230&gt;=95,"Exceptionnel",IF(U230&gt;=90,"Excellent",IF(U230&gt;=85,"Très bon",IF(U230&gt;=80,"Bon",IF(U230&gt;=70,"Correct","À revoir"))))))</x:f>
      </x:c>
      <x:c r="W230" s="12"/>
      <x:c r="X230" s="12"/>
      <x:c r="Y230" s="12"/>
      <x:c r="Z230" s="12"/>
      <x:c r="AA230" s="12"/>
      <x:c r="AB230" s="12"/>
      <x:c r="AC230" s="12"/>
      <x:c r="AD230" s="12"/>
      <x:c r="AE230" s="38"/>
      <x:c r="AF230" s="40"/>
      <x:c r="AG230" s="12"/>
      <x:c r="AH230" s="12"/>
      <x:c r="AI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 t="str">
        <x:f>IF(OR(H231="",J231=""),"", "https://www.amazon.fr/dp/"&amp;H231&amp;"?tag="&amp;J231)</x:f>
      </x:c>
      <x:c r="L231" s="12"/>
      <x:c r="M231" s="36"/>
      <x:c r="N231" s="12"/>
      <x:c r="O231" s="12"/>
      <x:c r="P231" s="12"/>
      <x:c r="Q231" s="12"/>
      <x:c r="R231" s="12"/>
      <x:c r="S231" s="12"/>
      <x:c r="T231" s="12"/>
      <x:c r="U231" s="12" t="str">
        <x:f>IF(COUNTA(O231:T231)=0,"",SUM(O231:T231))</x:f>
      </x:c>
      <x:c r="V231" s="12" t="str">
        <x:f>IF(U231="","",IF(U231&gt;=95,"Exceptionnel",IF(U231&gt;=90,"Excellent",IF(U231&gt;=85,"Très bon",IF(U231&gt;=80,"Bon",IF(U231&gt;=70,"Correct","À revoir"))))))</x:f>
      </x:c>
      <x:c r="W231" s="12"/>
      <x:c r="X231" s="12"/>
      <x:c r="Y231" s="12"/>
      <x:c r="Z231" s="12"/>
      <x:c r="AA231" s="12"/>
      <x:c r="AB231" s="12"/>
      <x:c r="AC231" s="12"/>
      <x:c r="AD231" s="12"/>
      <x:c r="AE231" s="38"/>
      <x:c r="AF231" s="40"/>
      <x:c r="AG231" s="12"/>
      <x:c r="AH231" s="12"/>
      <x:c r="AI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 t="str">
        <x:f>IF(OR(H232="",J232=""),"", "https://www.amazon.fr/dp/"&amp;H232&amp;"?tag="&amp;J232)</x:f>
      </x:c>
      <x:c r="L232" s="12"/>
      <x:c r="M232" s="36"/>
      <x:c r="N232" s="12"/>
      <x:c r="O232" s="12"/>
      <x:c r="P232" s="12"/>
      <x:c r="Q232" s="12"/>
      <x:c r="R232" s="12"/>
      <x:c r="S232" s="12"/>
      <x:c r="T232" s="12"/>
      <x:c r="U232" s="12" t="str">
        <x:f>IF(COUNTA(O232:T232)=0,"",SUM(O232:T232))</x:f>
      </x:c>
      <x:c r="V232" s="12" t="str">
        <x:f>IF(U232="","",IF(U232&gt;=95,"Exceptionnel",IF(U232&gt;=90,"Excellent",IF(U232&gt;=85,"Très bon",IF(U232&gt;=80,"Bon",IF(U232&gt;=70,"Correct","À revoir"))))))</x:f>
      </x:c>
      <x:c r="W232" s="12"/>
      <x:c r="X232" s="12"/>
      <x:c r="Y232" s="12"/>
      <x:c r="Z232" s="12"/>
      <x:c r="AA232" s="12"/>
      <x:c r="AB232" s="12"/>
      <x:c r="AC232" s="12"/>
      <x:c r="AD232" s="12"/>
      <x:c r="AE232" s="38"/>
      <x:c r="AF232" s="40"/>
      <x:c r="AG232" s="12"/>
      <x:c r="AH232" s="12"/>
      <x:c r="AI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 t="str">
        <x:f>IF(OR(H233="",J233=""),"", "https://www.amazon.fr/dp/"&amp;H233&amp;"?tag="&amp;J233)</x:f>
      </x:c>
      <x:c r="L233" s="12"/>
      <x:c r="M233" s="36"/>
      <x:c r="N233" s="12"/>
      <x:c r="O233" s="12"/>
      <x:c r="P233" s="12"/>
      <x:c r="Q233" s="12"/>
      <x:c r="R233" s="12"/>
      <x:c r="S233" s="12"/>
      <x:c r="T233" s="12"/>
      <x:c r="U233" s="12" t="str">
        <x:f>IF(COUNTA(O233:T233)=0,"",SUM(O233:T233))</x:f>
      </x:c>
      <x:c r="V233" s="12" t="str">
        <x:f>IF(U233="","",IF(U233&gt;=95,"Exceptionnel",IF(U233&gt;=90,"Excellent",IF(U233&gt;=85,"Très bon",IF(U233&gt;=80,"Bon",IF(U233&gt;=70,"Correct","À revoir"))))))</x:f>
      </x:c>
      <x:c r="W233" s="12"/>
      <x:c r="X233" s="12"/>
      <x:c r="Y233" s="12"/>
      <x:c r="Z233" s="12"/>
      <x:c r="AA233" s="12"/>
      <x:c r="AB233" s="12"/>
      <x:c r="AC233" s="12"/>
      <x:c r="AD233" s="12"/>
      <x:c r="AE233" s="38"/>
      <x:c r="AF233" s="40"/>
      <x:c r="AG233" s="12"/>
      <x:c r="AH233" s="12"/>
      <x:c r="AI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 t="str">
        <x:f>IF(OR(H234="",J234=""),"", "https://www.amazon.fr/dp/"&amp;H234&amp;"?tag="&amp;J234)</x:f>
      </x:c>
      <x:c r="L234" s="12"/>
      <x:c r="M234" s="36"/>
      <x:c r="N234" s="12"/>
      <x:c r="O234" s="12"/>
      <x:c r="P234" s="12"/>
      <x:c r="Q234" s="12"/>
      <x:c r="R234" s="12"/>
      <x:c r="S234" s="12"/>
      <x:c r="T234" s="12"/>
      <x:c r="U234" s="12" t="str">
        <x:f>IF(COUNTA(O234:T234)=0,"",SUM(O234:T234))</x:f>
      </x:c>
      <x:c r="V234" s="12" t="str">
        <x:f>IF(U234="","",IF(U234&gt;=95,"Exceptionnel",IF(U234&gt;=90,"Excellent",IF(U234&gt;=85,"Très bon",IF(U234&gt;=80,"Bon",IF(U234&gt;=70,"Correct","À revoir"))))))</x:f>
      </x:c>
      <x:c r="W234" s="12"/>
      <x:c r="X234" s="12"/>
      <x:c r="Y234" s="12"/>
      <x:c r="Z234" s="12"/>
      <x:c r="AA234" s="12"/>
      <x:c r="AB234" s="12"/>
      <x:c r="AC234" s="12"/>
      <x:c r="AD234" s="12"/>
      <x:c r="AE234" s="38"/>
      <x:c r="AF234" s="40"/>
      <x:c r="AG234" s="12"/>
      <x:c r="AH234" s="12"/>
      <x:c r="AI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 t="str">
        <x:f>IF(OR(H235="",J235=""),"", "https://www.amazon.fr/dp/"&amp;H235&amp;"?tag="&amp;J235)</x:f>
      </x:c>
      <x:c r="L235" s="12"/>
      <x:c r="M235" s="36"/>
      <x:c r="N235" s="12"/>
      <x:c r="O235" s="12"/>
      <x:c r="P235" s="12"/>
      <x:c r="Q235" s="12"/>
      <x:c r="R235" s="12"/>
      <x:c r="S235" s="12"/>
      <x:c r="T235" s="12"/>
      <x:c r="U235" s="12" t="str">
        <x:f>IF(COUNTA(O235:T235)=0,"",SUM(O235:T235))</x:f>
      </x:c>
      <x:c r="V235" s="12" t="str">
        <x:f>IF(U235="","",IF(U235&gt;=95,"Exceptionnel",IF(U235&gt;=90,"Excellent",IF(U235&gt;=85,"Très bon",IF(U235&gt;=80,"Bon",IF(U235&gt;=70,"Correct","À revoir"))))))</x:f>
      </x:c>
      <x:c r="W235" s="12"/>
      <x:c r="X235" s="12"/>
      <x:c r="Y235" s="12"/>
      <x:c r="Z235" s="12"/>
      <x:c r="AA235" s="12"/>
      <x:c r="AB235" s="12"/>
      <x:c r="AC235" s="12"/>
      <x:c r="AD235" s="12"/>
      <x:c r="AE235" s="38"/>
      <x:c r="AF235" s="40"/>
      <x:c r="AG235" s="12"/>
      <x:c r="AH235" s="12"/>
      <x:c r="AI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 t="str">
        <x:f>IF(OR(H236="",J236=""),"", "https://www.amazon.fr/dp/"&amp;H236&amp;"?tag="&amp;J236)</x:f>
      </x:c>
      <x:c r="L236" s="12"/>
      <x:c r="M236" s="36"/>
      <x:c r="N236" s="12"/>
      <x:c r="O236" s="12"/>
      <x:c r="P236" s="12"/>
      <x:c r="Q236" s="12"/>
      <x:c r="R236" s="12"/>
      <x:c r="S236" s="12"/>
      <x:c r="T236" s="12"/>
      <x:c r="U236" s="12" t="str">
        <x:f>IF(COUNTA(O236:T236)=0,"",SUM(O236:T236))</x:f>
      </x:c>
      <x:c r="V236" s="12" t="str">
        <x:f>IF(U236="","",IF(U236&gt;=95,"Exceptionnel",IF(U236&gt;=90,"Excellent",IF(U236&gt;=85,"Très bon",IF(U236&gt;=80,"Bon",IF(U236&gt;=70,"Correct","À revoir"))))))</x:f>
      </x:c>
      <x:c r="W236" s="12"/>
      <x:c r="X236" s="12"/>
      <x:c r="Y236" s="12"/>
      <x:c r="Z236" s="12"/>
      <x:c r="AA236" s="12"/>
      <x:c r="AB236" s="12"/>
      <x:c r="AC236" s="12"/>
      <x:c r="AD236" s="12"/>
      <x:c r="AE236" s="38"/>
      <x:c r="AF236" s="40"/>
      <x:c r="AG236" s="12"/>
      <x:c r="AH236" s="12"/>
      <x:c r="AI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 t="str">
        <x:f>IF(OR(H237="",J237=""),"", "https://www.amazon.fr/dp/"&amp;H237&amp;"?tag="&amp;J237)</x:f>
      </x:c>
      <x:c r="L237" s="12"/>
      <x:c r="M237" s="36"/>
      <x:c r="N237" s="12"/>
      <x:c r="O237" s="12"/>
      <x:c r="P237" s="12"/>
      <x:c r="Q237" s="12"/>
      <x:c r="R237" s="12"/>
      <x:c r="S237" s="12"/>
      <x:c r="T237" s="12"/>
      <x:c r="U237" s="12" t="str">
        <x:f>IF(COUNTA(O237:T237)=0,"",SUM(O237:T237))</x:f>
      </x:c>
      <x:c r="V237" s="12" t="str">
        <x:f>IF(U237="","",IF(U237&gt;=95,"Exceptionnel",IF(U237&gt;=90,"Excellent",IF(U237&gt;=85,"Très bon",IF(U237&gt;=80,"Bon",IF(U237&gt;=70,"Correct","À revoir"))))))</x:f>
      </x:c>
      <x:c r="W237" s="12"/>
      <x:c r="X237" s="12"/>
      <x:c r="Y237" s="12"/>
      <x:c r="Z237" s="12"/>
      <x:c r="AA237" s="12"/>
      <x:c r="AB237" s="12"/>
      <x:c r="AC237" s="12"/>
      <x:c r="AD237" s="12"/>
      <x:c r="AE237" s="38"/>
      <x:c r="AF237" s="40"/>
      <x:c r="AG237" s="12"/>
      <x:c r="AH237" s="12"/>
      <x:c r="AI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 t="str">
        <x:f>IF(OR(H238="",J238=""),"", "https://www.amazon.fr/dp/"&amp;H238&amp;"?tag="&amp;J238)</x:f>
      </x:c>
      <x:c r="L238" s="12"/>
      <x:c r="M238" s="36"/>
      <x:c r="N238" s="12"/>
      <x:c r="O238" s="12"/>
      <x:c r="P238" s="12"/>
      <x:c r="Q238" s="12"/>
      <x:c r="R238" s="12"/>
      <x:c r="S238" s="12"/>
      <x:c r="T238" s="12"/>
      <x:c r="U238" s="12" t="str">
        <x:f>IF(COUNTA(O238:T238)=0,"",SUM(O238:T238))</x:f>
      </x:c>
      <x:c r="V238" s="12" t="str">
        <x:f>IF(U238="","",IF(U238&gt;=95,"Exceptionnel",IF(U238&gt;=90,"Excellent",IF(U238&gt;=85,"Très bon",IF(U238&gt;=80,"Bon",IF(U238&gt;=70,"Correct","À revoir"))))))</x:f>
      </x:c>
      <x:c r="W238" s="12"/>
      <x:c r="X238" s="12"/>
      <x:c r="Y238" s="12"/>
      <x:c r="Z238" s="12"/>
      <x:c r="AA238" s="12"/>
      <x:c r="AB238" s="12"/>
      <x:c r="AC238" s="12"/>
      <x:c r="AD238" s="12"/>
      <x:c r="AE238" s="38"/>
      <x:c r="AF238" s="40"/>
      <x:c r="AG238" s="12"/>
      <x:c r="AH238" s="12"/>
      <x:c r="AI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 t="str">
        <x:f>IF(OR(H239="",J239=""),"", "https://www.amazon.fr/dp/"&amp;H239&amp;"?tag="&amp;J239)</x:f>
      </x:c>
      <x:c r="L239" s="12"/>
      <x:c r="M239" s="36"/>
      <x:c r="N239" s="12"/>
      <x:c r="O239" s="12"/>
      <x:c r="P239" s="12"/>
      <x:c r="Q239" s="12"/>
      <x:c r="R239" s="12"/>
      <x:c r="S239" s="12"/>
      <x:c r="T239" s="12"/>
      <x:c r="U239" s="12" t="str">
        <x:f>IF(COUNTA(O239:T239)=0,"",SUM(O239:T239))</x:f>
      </x:c>
      <x:c r="V239" s="12" t="str">
        <x:f>IF(U239="","",IF(U239&gt;=95,"Exceptionnel",IF(U239&gt;=90,"Excellent",IF(U239&gt;=85,"Très bon",IF(U239&gt;=80,"Bon",IF(U239&gt;=70,"Correct","À revoir"))))))</x:f>
      </x:c>
      <x:c r="W239" s="12"/>
      <x:c r="X239" s="12"/>
      <x:c r="Y239" s="12"/>
      <x:c r="Z239" s="12"/>
      <x:c r="AA239" s="12"/>
      <x:c r="AB239" s="12"/>
      <x:c r="AC239" s="12"/>
      <x:c r="AD239" s="12"/>
      <x:c r="AE239" s="38"/>
      <x:c r="AF239" s="40"/>
      <x:c r="AG239" s="12"/>
      <x:c r="AH239" s="12"/>
      <x:c r="AI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 t="str">
        <x:f>IF(OR(H240="",J240=""),"", "https://www.amazon.fr/dp/"&amp;H240&amp;"?tag="&amp;J240)</x:f>
      </x:c>
      <x:c r="L240" s="12"/>
      <x:c r="M240" s="36"/>
      <x:c r="N240" s="12"/>
      <x:c r="O240" s="12"/>
      <x:c r="P240" s="12"/>
      <x:c r="Q240" s="12"/>
      <x:c r="R240" s="12"/>
      <x:c r="S240" s="12"/>
      <x:c r="T240" s="12"/>
      <x:c r="U240" s="12" t="str">
        <x:f>IF(COUNTA(O240:T240)=0,"",SUM(O240:T240))</x:f>
      </x:c>
      <x:c r="V240" s="12" t="str">
        <x:f>IF(U240="","",IF(U240&gt;=95,"Exceptionnel",IF(U240&gt;=90,"Excellent",IF(U240&gt;=85,"Très bon",IF(U240&gt;=80,"Bon",IF(U240&gt;=70,"Correct","À revoir"))))))</x:f>
      </x:c>
      <x:c r="W240" s="12"/>
      <x:c r="X240" s="12"/>
      <x:c r="Y240" s="12"/>
      <x:c r="Z240" s="12"/>
      <x:c r="AA240" s="12"/>
      <x:c r="AB240" s="12"/>
      <x:c r="AC240" s="12"/>
      <x:c r="AD240" s="12"/>
      <x:c r="AE240" s="38"/>
      <x:c r="AF240" s="40"/>
      <x:c r="AG240" s="12"/>
      <x:c r="AH240" s="12"/>
      <x:c r="AI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 t="str">
        <x:f>IF(OR(H241="",J241=""),"", "https://www.amazon.fr/dp/"&amp;H241&amp;"?tag="&amp;J241)</x:f>
      </x:c>
      <x:c r="L241" s="12"/>
      <x:c r="M241" s="36"/>
      <x:c r="N241" s="12"/>
      <x:c r="O241" s="12"/>
      <x:c r="P241" s="12"/>
      <x:c r="Q241" s="12"/>
      <x:c r="R241" s="12"/>
      <x:c r="S241" s="12"/>
      <x:c r="T241" s="12"/>
      <x:c r="U241" s="12" t="str">
        <x:f>IF(COUNTA(O241:T241)=0,"",SUM(O241:T241))</x:f>
      </x:c>
      <x:c r="V241" s="12" t="str">
        <x:f>IF(U241="","",IF(U241&gt;=95,"Exceptionnel",IF(U241&gt;=90,"Excellent",IF(U241&gt;=85,"Très bon",IF(U241&gt;=80,"Bon",IF(U241&gt;=70,"Correct","À revoir"))))))</x:f>
      </x:c>
      <x:c r="W241" s="12"/>
      <x:c r="X241" s="12"/>
      <x:c r="Y241" s="12"/>
      <x:c r="Z241" s="12"/>
      <x:c r="AA241" s="12"/>
      <x:c r="AB241" s="12"/>
      <x:c r="AC241" s="12"/>
      <x:c r="AD241" s="12"/>
      <x:c r="AE241" s="38"/>
      <x:c r="AF241" s="40"/>
      <x:c r="AG241" s="12"/>
      <x:c r="AH241" s="12"/>
      <x:c r="AI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 t="str">
        <x:f>IF(OR(H242="",J242=""),"", "https://www.amazon.fr/dp/"&amp;H242&amp;"?tag="&amp;J242)</x:f>
      </x:c>
      <x:c r="L242" s="12"/>
      <x:c r="M242" s="36"/>
      <x:c r="N242" s="12"/>
      <x:c r="O242" s="12"/>
      <x:c r="P242" s="12"/>
      <x:c r="Q242" s="12"/>
      <x:c r="R242" s="12"/>
      <x:c r="S242" s="12"/>
      <x:c r="T242" s="12"/>
      <x:c r="U242" s="12" t="str">
        <x:f>IF(COUNTA(O242:T242)=0,"",SUM(O242:T242))</x:f>
      </x:c>
      <x:c r="V242" s="12" t="str">
        <x:f>IF(U242="","",IF(U242&gt;=95,"Exceptionnel",IF(U242&gt;=90,"Excellent",IF(U242&gt;=85,"Très bon",IF(U242&gt;=80,"Bon",IF(U242&gt;=70,"Correct","À revoir"))))))</x:f>
      </x:c>
      <x:c r="W242" s="12"/>
      <x:c r="X242" s="12"/>
      <x:c r="Y242" s="12"/>
      <x:c r="Z242" s="12"/>
      <x:c r="AA242" s="12"/>
      <x:c r="AB242" s="12"/>
      <x:c r="AC242" s="12"/>
      <x:c r="AD242" s="12"/>
      <x:c r="AE242" s="38"/>
      <x:c r="AF242" s="40"/>
      <x:c r="AG242" s="12"/>
      <x:c r="AH242" s="12"/>
      <x:c r="AI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 t="str">
        <x:f>IF(OR(H243="",J243=""),"", "https://www.amazon.fr/dp/"&amp;H243&amp;"?tag="&amp;J243)</x:f>
      </x:c>
      <x:c r="L243" s="12"/>
      <x:c r="M243" s="36"/>
      <x:c r="N243" s="12"/>
      <x:c r="O243" s="12"/>
      <x:c r="P243" s="12"/>
      <x:c r="Q243" s="12"/>
      <x:c r="R243" s="12"/>
      <x:c r="S243" s="12"/>
      <x:c r="T243" s="12"/>
      <x:c r="U243" s="12" t="str">
        <x:f>IF(COUNTA(O243:T243)=0,"",SUM(O243:T243))</x:f>
      </x:c>
      <x:c r="V243" s="12" t="str">
        <x:f>IF(U243="","",IF(U243&gt;=95,"Exceptionnel",IF(U243&gt;=90,"Excellent",IF(U243&gt;=85,"Très bon",IF(U243&gt;=80,"Bon",IF(U243&gt;=70,"Correct","À revoir"))))))</x:f>
      </x:c>
      <x:c r="W243" s="12"/>
      <x:c r="X243" s="12"/>
      <x:c r="Y243" s="12"/>
      <x:c r="Z243" s="12"/>
      <x:c r="AA243" s="12"/>
      <x:c r="AB243" s="12"/>
      <x:c r="AC243" s="12"/>
      <x:c r="AD243" s="12"/>
      <x:c r="AE243" s="38"/>
      <x:c r="AF243" s="40"/>
      <x:c r="AG243" s="12"/>
      <x:c r="AH243" s="12"/>
      <x:c r="AI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 t="str">
        <x:f>IF(OR(H244="",J244=""),"", "https://www.amazon.fr/dp/"&amp;H244&amp;"?tag="&amp;J244)</x:f>
      </x:c>
      <x:c r="L244" s="12"/>
      <x:c r="M244" s="36"/>
      <x:c r="N244" s="12"/>
      <x:c r="O244" s="12"/>
      <x:c r="P244" s="12"/>
      <x:c r="Q244" s="12"/>
      <x:c r="R244" s="12"/>
      <x:c r="S244" s="12"/>
      <x:c r="T244" s="12"/>
      <x:c r="U244" s="12" t="str">
        <x:f>IF(COUNTA(O244:T244)=0,"",SUM(O244:T244))</x:f>
      </x:c>
      <x:c r="V244" s="12" t="str">
        <x:f>IF(U244="","",IF(U244&gt;=95,"Exceptionnel",IF(U244&gt;=90,"Excellent",IF(U244&gt;=85,"Très bon",IF(U244&gt;=80,"Bon",IF(U244&gt;=70,"Correct","À revoir"))))))</x:f>
      </x:c>
      <x:c r="W244" s="12"/>
      <x:c r="X244" s="12"/>
      <x:c r="Y244" s="12"/>
      <x:c r="Z244" s="12"/>
      <x:c r="AA244" s="12"/>
      <x:c r="AB244" s="12"/>
      <x:c r="AC244" s="12"/>
      <x:c r="AD244" s="12"/>
      <x:c r="AE244" s="38"/>
      <x:c r="AF244" s="40"/>
      <x:c r="AG244" s="12"/>
      <x:c r="AH244" s="12"/>
      <x:c r="AI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 t="str">
        <x:f>IF(OR(H245="",J245=""),"", "https://www.amazon.fr/dp/"&amp;H245&amp;"?tag="&amp;J245)</x:f>
      </x:c>
      <x:c r="L245" s="12"/>
      <x:c r="M245" s="36"/>
      <x:c r="N245" s="12"/>
      <x:c r="O245" s="12"/>
      <x:c r="P245" s="12"/>
      <x:c r="Q245" s="12"/>
      <x:c r="R245" s="12"/>
      <x:c r="S245" s="12"/>
      <x:c r="T245" s="12"/>
      <x:c r="U245" s="12" t="str">
        <x:f>IF(COUNTA(O245:T245)=0,"",SUM(O245:T245))</x:f>
      </x:c>
      <x:c r="V245" s="12" t="str">
        <x:f>IF(U245="","",IF(U245&gt;=95,"Exceptionnel",IF(U245&gt;=90,"Excellent",IF(U245&gt;=85,"Très bon",IF(U245&gt;=80,"Bon",IF(U245&gt;=70,"Correct","À revoir"))))))</x:f>
      </x:c>
      <x:c r="W245" s="12"/>
      <x:c r="X245" s="12"/>
      <x:c r="Y245" s="12"/>
      <x:c r="Z245" s="12"/>
      <x:c r="AA245" s="12"/>
      <x:c r="AB245" s="12"/>
      <x:c r="AC245" s="12"/>
      <x:c r="AD245" s="12"/>
      <x:c r="AE245" s="38"/>
      <x:c r="AF245" s="40"/>
      <x:c r="AG245" s="12"/>
      <x:c r="AH245" s="12"/>
      <x:c r="AI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 t="str">
        <x:f>IF(OR(H246="",J246=""),"", "https://www.amazon.fr/dp/"&amp;H246&amp;"?tag="&amp;J246)</x:f>
      </x:c>
      <x:c r="L246" s="12"/>
      <x:c r="M246" s="36"/>
      <x:c r="N246" s="12"/>
      <x:c r="O246" s="12"/>
      <x:c r="P246" s="12"/>
      <x:c r="Q246" s="12"/>
      <x:c r="R246" s="12"/>
      <x:c r="S246" s="12"/>
      <x:c r="T246" s="12"/>
      <x:c r="U246" s="12" t="str">
        <x:f>IF(COUNTA(O246:T246)=0,"",SUM(O246:T246))</x:f>
      </x:c>
      <x:c r="V246" s="12" t="str">
        <x:f>IF(U246="","",IF(U246&gt;=95,"Exceptionnel",IF(U246&gt;=90,"Excellent",IF(U246&gt;=85,"Très bon",IF(U246&gt;=80,"Bon",IF(U246&gt;=70,"Correct","À revoir"))))))</x:f>
      </x:c>
      <x:c r="W246" s="12"/>
      <x:c r="X246" s="12"/>
      <x:c r="Y246" s="12"/>
      <x:c r="Z246" s="12"/>
      <x:c r="AA246" s="12"/>
      <x:c r="AB246" s="12"/>
      <x:c r="AC246" s="12"/>
      <x:c r="AD246" s="12"/>
      <x:c r="AE246" s="38"/>
      <x:c r="AF246" s="40"/>
      <x:c r="AG246" s="12"/>
      <x:c r="AH246" s="12"/>
      <x:c r="AI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 t="str">
        <x:f>IF(OR(H247="",J247=""),"", "https://www.amazon.fr/dp/"&amp;H247&amp;"?tag="&amp;J247)</x:f>
      </x:c>
      <x:c r="L247" s="12"/>
      <x:c r="M247" s="36"/>
      <x:c r="N247" s="12"/>
      <x:c r="O247" s="12"/>
      <x:c r="P247" s="12"/>
      <x:c r="Q247" s="12"/>
      <x:c r="R247" s="12"/>
      <x:c r="S247" s="12"/>
      <x:c r="T247" s="12"/>
      <x:c r="U247" s="12" t="str">
        <x:f>IF(COUNTA(O247:T247)=0,"",SUM(O247:T247))</x:f>
      </x:c>
      <x:c r="V247" s="12" t="str">
        <x:f>IF(U247="","",IF(U247&gt;=95,"Exceptionnel",IF(U247&gt;=90,"Excellent",IF(U247&gt;=85,"Très bon",IF(U247&gt;=80,"Bon",IF(U247&gt;=70,"Correct","À revoir"))))))</x:f>
      </x:c>
      <x:c r="W247" s="12"/>
      <x:c r="X247" s="12"/>
      <x:c r="Y247" s="12"/>
      <x:c r="Z247" s="12"/>
      <x:c r="AA247" s="12"/>
      <x:c r="AB247" s="12"/>
      <x:c r="AC247" s="12"/>
      <x:c r="AD247" s="12"/>
      <x:c r="AE247" s="38"/>
      <x:c r="AF247" s="40"/>
      <x:c r="AG247" s="12"/>
      <x:c r="AH247" s="12"/>
      <x:c r="AI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 t="str">
        <x:f>IF(OR(H248="",J248=""),"", "https://www.amazon.fr/dp/"&amp;H248&amp;"?tag="&amp;J248)</x:f>
      </x:c>
      <x:c r="L248" s="12"/>
      <x:c r="M248" s="36"/>
      <x:c r="N248" s="12"/>
      <x:c r="O248" s="12"/>
      <x:c r="P248" s="12"/>
      <x:c r="Q248" s="12"/>
      <x:c r="R248" s="12"/>
      <x:c r="S248" s="12"/>
      <x:c r="T248" s="12"/>
      <x:c r="U248" s="12" t="str">
        <x:f>IF(COUNTA(O248:T248)=0,"",SUM(O248:T248))</x:f>
      </x:c>
      <x:c r="V248" s="12" t="str">
        <x:f>IF(U248="","",IF(U248&gt;=95,"Exceptionnel",IF(U248&gt;=90,"Excellent",IF(U248&gt;=85,"Très bon",IF(U248&gt;=80,"Bon",IF(U248&gt;=70,"Correct","À revoir"))))))</x:f>
      </x:c>
      <x:c r="W248" s="12"/>
      <x:c r="X248" s="12"/>
      <x:c r="Y248" s="12"/>
      <x:c r="Z248" s="12"/>
      <x:c r="AA248" s="12"/>
      <x:c r="AB248" s="12"/>
      <x:c r="AC248" s="12"/>
      <x:c r="AD248" s="12"/>
      <x:c r="AE248" s="38"/>
      <x:c r="AF248" s="40"/>
      <x:c r="AG248" s="12"/>
      <x:c r="AH248" s="12"/>
      <x:c r="AI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 t="str">
        <x:f>IF(OR(H249="",J249=""),"", "https://www.amazon.fr/dp/"&amp;H249&amp;"?tag="&amp;J249)</x:f>
      </x:c>
      <x:c r="L249" s="12"/>
      <x:c r="M249" s="36"/>
      <x:c r="N249" s="12"/>
      <x:c r="O249" s="12"/>
      <x:c r="P249" s="12"/>
      <x:c r="Q249" s="12"/>
      <x:c r="R249" s="12"/>
      <x:c r="S249" s="12"/>
      <x:c r="T249" s="12"/>
      <x:c r="U249" s="12" t="str">
        <x:f>IF(COUNTA(O249:T249)=0,"",SUM(O249:T249))</x:f>
      </x:c>
      <x:c r="V249" s="12" t="str">
        <x:f>IF(U249="","",IF(U249&gt;=95,"Exceptionnel",IF(U249&gt;=90,"Excellent",IF(U249&gt;=85,"Très bon",IF(U249&gt;=80,"Bon",IF(U249&gt;=70,"Correct","À revoir"))))))</x:f>
      </x:c>
      <x:c r="W249" s="12"/>
      <x:c r="X249" s="12"/>
      <x:c r="Y249" s="12"/>
      <x:c r="Z249" s="12"/>
      <x:c r="AA249" s="12"/>
      <x:c r="AB249" s="12"/>
      <x:c r="AC249" s="12"/>
      <x:c r="AD249" s="12"/>
      <x:c r="AE249" s="38"/>
      <x:c r="AF249" s="40"/>
      <x:c r="AG249" s="12"/>
      <x:c r="AH249" s="12"/>
      <x:c r="AI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 t="str">
        <x:f>IF(OR(H250="",J250=""),"", "https://www.amazon.fr/dp/"&amp;H250&amp;"?tag="&amp;J250)</x:f>
      </x:c>
      <x:c r="L250" s="12"/>
      <x:c r="M250" s="36"/>
      <x:c r="N250" s="12"/>
      <x:c r="O250" s="12"/>
      <x:c r="P250" s="12"/>
      <x:c r="Q250" s="12"/>
      <x:c r="R250" s="12"/>
      <x:c r="S250" s="12"/>
      <x:c r="T250" s="12"/>
      <x:c r="U250" s="12" t="str">
        <x:f>IF(COUNTA(O250:T250)=0,"",SUM(O250:T250))</x:f>
      </x:c>
      <x:c r="V250" s="12" t="str">
        <x:f>IF(U250="","",IF(U250&gt;=95,"Exceptionnel",IF(U250&gt;=90,"Excellent",IF(U250&gt;=85,"Très bon",IF(U250&gt;=80,"Bon",IF(U250&gt;=70,"Correct","À revoir"))))))</x:f>
      </x:c>
      <x:c r="W250" s="12"/>
      <x:c r="X250" s="12"/>
      <x:c r="Y250" s="12"/>
      <x:c r="Z250" s="12"/>
      <x:c r="AA250" s="12"/>
      <x:c r="AB250" s="12"/>
      <x:c r="AC250" s="12"/>
      <x:c r="AD250" s="12"/>
      <x:c r="AE250" s="38"/>
      <x:c r="AF250" s="40"/>
      <x:c r="AG250" s="12"/>
      <x:c r="AH250" s="12"/>
      <x:c r="AI250" s="12"/>
    </x:row>
  </x:sheetData>
  <x:mergeCells>
    <x:mergeCell ref="A1:AG1"/>
  </x:mergeCells>
  <x:conditionalFormatting sqref="U4:U250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AG4:AG250">
    <x:cfRule type="expression" dxfId="0" priority="2">
      <x:formula>AG4="Validé"</x:formula>
    </x:cfRule>
    <x:cfRule type="expression" dxfId="1" priority="3">
      <x:formula>AG4="À rechercher"</x:formula>
    </x:cfRule>
    <x:cfRule type="expression" dxfId="2" priority="4">
      <x:formula>AG4="Indisponible"</x:formula>
    </x:cfRule>
  </x:conditionalFormatting>
  <x:dataValidations count="11">
    <x:dataValidation type="list" sqref="B4:B250">
      <x:formula1>Listes!$E$2:$E$21</x:formula1>
    </x:dataValidation>
    <x:dataValidation type="list" sqref="D4:D250">
      <x:formula1>Listes!$A$2:$A$8</x:formula1>
    </x:dataValidation>
    <x:dataValidation type="list" sqref="N4:N250">
      <x:formula1>Listes!$C$2:$C$4</x:formula1>
    </x:dataValidation>
    <x:dataValidation type="list" sqref="W4:Y250">
      <x:formula1>"Oui,Non"</x:formula1>
    </x:dataValidation>
    <x:dataValidation type="list" sqref="AG4:AG250">
      <x:formula1>Listes!$B$2:$B$8</x:formula1>
    </x:dataValidation>
    <x:dataValidation type="decimal" operator="between" sqref="O4:O250">
      <x:formula1>0</x:formula1>
      <x:formula2>25</x:formula2>
    </x:dataValidation>
    <x:dataValidation type="decimal" operator="between" sqref="P4:P250">
      <x:formula1>0</x:formula1>
      <x:formula2>25</x:formula2>
    </x:dataValidation>
    <x:dataValidation type="decimal" operator="between" sqref="Q4:Q250">
      <x:formula1>0</x:formula1>
      <x:formula2>20</x:formula2>
    </x:dataValidation>
    <x:dataValidation type="decimal" operator="between" sqref="R4:R250">
      <x:formula1>0</x:formula1>
      <x:formula2>15</x:formula2>
    </x:dataValidation>
    <x:dataValidation type="decimal" operator="between" sqref="S4:S250">
      <x:formula1>0</x:formula1>
      <x:formula2>10</x:formula2>
    </x:dataValidation>
    <x:dataValidation type="decimal" operator="between" sqref="T4:T250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d206decd1424a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44" hidden="0" customWidth="1"/>
    <x:col min="4" max="4" width="15" hidden="0" customWidth="1"/>
    <x:col min="5" max="5" width="15" hidden="0" customWidth="1"/>
    <x:col min="6" max="6" width="35" hidden="0" customWidth="1"/>
    <x:col min="7" max="7" width="16" hidden="0" customWidth="1"/>
    <x:col min="8" max="8" width="32" hidden="0" customWidth="1"/>
  </x:cols>
  <x:sheetData>
    <x:row r="1">
      <x:c r="A1" s="17" t="str">
        <x:v>MÉTHODE OFFICIELLE — SCORE MUSCUGUIDE</x:v>
      </x:c>
      <x:c r="B1" s="17"/>
      <x:c r="C1" s="17"/>
      <x:c r="D1" s="17"/>
      <x:c r="E1" s="17"/>
      <x:c r="F1" s="17"/>
      <x:c r="G1" s="17"/>
      <x:c r="H1" s="17"/>
    </x:row>
    <x:row r="3">
      <x:c r="A3" s="6" t="str">
        <x:v>Critère</x:v>
      </x:c>
      <x:c r="B3" s="6" t="str">
        <x:v>Poids max</x:v>
      </x:c>
      <x:c r="C3" s="6" t="str">
        <x:v>Description</x:v>
      </x:c>
      <x:c r="D3" s="6" t="str">
        <x:v>Note produit</x:v>
      </x:c>
      <x:c r="E3" s="6" t="str">
        <x:v>Score pondéré</x:v>
      </x:c>
      <x:c r="F3" s="6" t="str">
        <x:v>Source / preuve</x:v>
      </x:c>
      <x:c r="G3" s="6" t="str">
        <x:v>Date vérification</x:v>
      </x:c>
      <x:c r="H3" s="6" t="str">
        <x:v>Commentaire</x:v>
      </x:c>
    </x:row>
    <x:row r="4">
      <x:c r="A4" s="12" t="str">
        <x:v>Qualité / fabrication</x:v>
      </x:c>
      <x:c r="B4" s="12" t="n">
        <x:v>25</x:v>
      </x:c>
      <x:c r="C4" s="12" t="str">
        <x:v>Matériaux, finition, composition et fiabilité globale</x:v>
      </x:c>
      <x:c r="D4" s="12" t="str"/>
      <x:c r="E4" s="12" t="str">
        <x:f>IF(D4="","",D4)</x:f>
      </x:c>
      <x:c r="F4" s="12" t="str"/>
      <x:c r="G4" s="12" t="str"/>
      <x:c r="H4" s="12" t="str"/>
    </x:row>
    <x:row r="5">
      <x:c r="A5" s="12" t="str">
        <x:v>Rapport qualité/prix</x:v>
      </x:c>
      <x:c r="B5" s="12" t="n">
        <x:v>25</x:v>
      </x:c>
      <x:c r="C5" s="12" t="str">
        <x:v>Valeur réelle par rapport au tarif et aux alternatives</x:v>
      </x:c>
      <x:c r="D5" s="12" t="str"/>
      <x:c r="E5" s="12" t="str">
        <x:f>IF(D5="","",D5)</x:f>
      </x:c>
      <x:c r="F5" s="12" t="str"/>
      <x:c r="G5" s="12" t="str"/>
      <x:c r="H5" s="12" t="str"/>
    </x:row>
    <x:row r="6">
      <x:c r="A6" s="12" t="str">
        <x:v>Avis clients</x:v>
      </x:c>
      <x:c r="B6" s="12" t="n">
        <x:v>20</x:v>
      </x:c>
      <x:c r="C6" s="12" t="str">
        <x:v>Volume, note moyenne, cohérence des retours et défauts récurrents</x:v>
      </x:c>
      <x:c r="D6" s="12" t="str"/>
      <x:c r="E6" s="12" t="str">
        <x:f>IF(D6="","",D6)</x:f>
      </x:c>
      <x:c r="F6" s="12" t="str"/>
      <x:c r="G6" s="12" t="str"/>
      <x:c r="H6" s="12" t="str"/>
    </x:row>
    <x:row r="7">
      <x:c r="A7" s="12" t="str">
        <x:v>Fonctionnalités / efficacité</x:v>
      </x:c>
      <x:c r="B7" s="12" t="n">
        <x:v>15</x:v>
      </x:c>
      <x:c r="C7" s="12" t="str">
        <x:v>Performances, polyvalence et adéquation à l'usage</x:v>
      </x:c>
      <x:c r="D7" s="12" t="str"/>
      <x:c r="E7" s="12" t="str">
        <x:f>IF(D7="","",D7)</x:f>
      </x:c>
      <x:c r="F7" s="12" t="str"/>
      <x:c r="G7" s="12" t="str"/>
      <x:c r="H7" s="12" t="str"/>
    </x:row>
    <x:row r="8">
      <x:c r="A8" s="12" t="str">
        <x:v>Durabilité</x:v>
      </x:c>
      <x:c r="B8" s="12" t="n">
        <x:v>10</x:v>
      </x:c>
      <x:c r="C8" s="12" t="str">
        <x:v>Longévité attendue, résistance et fréquence des défauts</x:v>
      </x:c>
      <x:c r="D8" s="12" t="str"/>
      <x:c r="E8" s="12" t="str">
        <x:f>IF(D8="","",D8)</x:f>
      </x:c>
      <x:c r="F8" s="12" t="str"/>
      <x:c r="G8" s="12" t="str"/>
      <x:c r="H8" s="12" t="str"/>
    </x:row>
    <x:row r="9">
      <x:c r="A9" s="12" t="str">
        <x:v>Garantie / SAV</x:v>
      </x:c>
      <x:c r="B9" s="12" t="n">
        <x:v>5</x:v>
      </x:c>
      <x:c r="C9" s="12" t="str">
        <x:v>Garantie, service client, disponibilité des pièces ou retours</x:v>
      </x:c>
      <x:c r="D9" s="12" t="str"/>
      <x:c r="E9" s="12" t="str">
        <x:f>IF(D9="","",D9)</x:f>
      </x:c>
      <x:c r="F9" s="12" t="str"/>
      <x:c r="G9" s="12" t="str"/>
      <x:c r="H9" s="12" t="str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6" t="str">
        <x:v>Verdict</x:v>
      </x:c>
      <x:c r="B11" s="6" t="str">
        <x:v>Seuil minimum</x:v>
      </x:c>
      <x:c r="C11" s="6" t="str">
        <x:v>Seuil maximum</x:v>
      </x:c>
      <x:c r="D11" s="6" t="str">
        <x:v>Usage</x:v>
      </x:c>
      <x:c r="E11" s="12"/>
      <x:c r="F11" s="12"/>
      <x:c r="G11" s="12"/>
      <x:c r="H11" s="12"/>
    </x:row>
    <x:row r="12">
      <x:c r="A12" s="12" t="str">
        <x:v>Exceptionnel</x:v>
      </x:c>
      <x:c r="B12" s="12" t="n">
        <x:v>95</x:v>
      </x:c>
      <x:c r="C12" s="12" t="n">
        <x:v>100</x:v>
      </x:c>
      <x:c r="D12" s="12" t="str">
        <x:v>Rare — meilleur de sa catégorie</x:v>
      </x:c>
      <x:c r="E12" s="12"/>
      <x:c r="F12" s="12"/>
      <x:c r="G12" s="12"/>
      <x:c r="H12" s="12"/>
    </x:row>
    <x:row r="13">
      <x:c r="A13" s="12" t="str">
        <x:v>Excellent</x:v>
      </x:c>
      <x:c r="B13" s="12" t="n">
        <x:v>90</x:v>
      </x:c>
      <x:c r="C13" s="12" t="n">
        <x:v>94</x:v>
      </x:c>
      <x:c r="D13" s="12" t="str">
        <x:v>Recommandation forte</x:v>
      </x:c>
      <x:c r="E13" s="12"/>
      <x:c r="F13" s="12"/>
      <x:c r="G13" s="12"/>
      <x:c r="H13" s="12"/>
    </x:row>
    <x:row r="14">
      <x:c r="A14" s="12" t="str">
        <x:v>Très bon</x:v>
      </x:c>
      <x:c r="B14" s="12" t="n">
        <x:v>85</x:v>
      </x:c>
      <x:c r="C14" s="12" t="n">
        <x:v>89</x:v>
      </x:c>
      <x:c r="D14" s="12" t="str">
        <x:v>Recommandation solide</x:v>
      </x:c>
      <x:c r="E14" s="12"/>
      <x:c r="F14" s="12"/>
      <x:c r="G14" s="12"/>
      <x:c r="H14" s="12"/>
    </x:row>
    <x:row r="15">
      <x:c r="A15" s="12" t="str">
        <x:v>Bon</x:v>
      </x:c>
      <x:c r="B15" s="12" t="n">
        <x:v>80</x:v>
      </x:c>
      <x:c r="C15" s="12" t="n">
        <x:v>84</x:v>
      </x:c>
      <x:c r="D15" s="12" t="str">
        <x:v>Bon choix avec compromis</x:v>
      </x:c>
      <x:c r="E15" s="12"/>
      <x:c r="F15" s="12"/>
      <x:c r="G15" s="12"/>
      <x:c r="H15" s="12"/>
    </x:row>
    <x:row r="16">
      <x:c r="A16" s="12" t="str">
        <x:v>Correct</x:v>
      </x:c>
      <x:c r="B16" s="12" t="n">
        <x:v>70</x:v>
      </x:c>
      <x:c r="C16" s="12" t="n">
        <x:v>79</x:v>
      </x:c>
      <x:c r="D16" s="12" t="str">
        <x:v>À recommander uniquement pour un besoin précis</x:v>
      </x:c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32" t="str">
        <x:v>Score total test</x:v>
      </x:c>
      <x:c r="B18" s="33" t="n">
        <x:f>SUM(E4:E9)</x:f>
        <x:v>0</x:v>
      </x:c>
      <x:c r="C18" s="12"/>
      <x:c r="D18" s="12"/>
      <x:c r="E18" s="12"/>
      <x:c r="F18" s="12"/>
      <x:c r="G18" s="12"/>
      <x:c r="H18" s="12"/>
    </x:row>
  </x:sheetData>
  <x:mergeCells>
    <x:mergeCell ref="A1:H1"/>
  </x:mergeCells>
  <x:dataValidations count="1">
    <x:dataValidation type="decimal" operator="between" sqref="D4:D9">
      <x:formula1>0</x:formula1>
      <x:formula2>25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5" hidden="0" customWidth="1"/>
    <x:col min="14" max="14" width="35" hidden="0" customWidth="1"/>
    <x:col min="15" max="15" width="35" hidden="0" customWidth="1"/>
    <x:col min="16" max="16" width="35" hidden="0" customWidth="1"/>
    <x:col min="17" max="17" width="35" hidden="0" customWidth="1"/>
  </x:cols>
  <x:sheetData>
    <x:row r="1">
      <x:c r="A1" s="17" t="str">
        <x:v>FORMAT D'IMPORT PRÊT POUR CLAUDE CODE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</x:row>
    <x:row r="3">
      <x:c r="A3" s="6" t="str">
        <x:v>id</x:v>
      </x:c>
      <x:c r="B3" s="6" t="str">
        <x:v>category</x:v>
      </x:c>
      <x:c r="C3" s="6" t="str">
        <x:v>rank</x:v>
      </x:c>
      <x:c r="D3" s="6" t="str">
        <x:v>badge</x:v>
      </x:c>
      <x:c r="E3" s="6" t="str">
        <x:v>name</x:v>
      </x:c>
      <x:c r="F3" s="6" t="str">
        <x:v>brand</x:v>
      </x:c>
      <x:c r="G3" s="6" t="str">
        <x:v>asin</x:v>
      </x:c>
      <x:c r="H3" s="6" t="str">
        <x:v>amazonUrl</x:v>
      </x:c>
      <x:c r="I3" s="6" t="str">
        <x:v>affiliateUrl</x:v>
      </x:c>
      <x:c r="J3" s="6" t="str">
        <x:v>image</x:v>
      </x:c>
      <x:c r="K3" s="6" t="str">
        <x:v>score</x:v>
      </x:c>
      <x:c r="L3" s="6" t="str">
        <x:v>verdict</x:v>
      </x:c>
      <x:c r="M3" s="6" t="str">
        <x:v>summary</x:v>
      </x:c>
      <x:c r="N3" s="6" t="str">
        <x:v>pros</x:v>
      </x:c>
      <x:c r="O3" s="6" t="str">
        <x:v>cons</x:v>
      </x:c>
      <x:c r="P3" s="6" t="str">
        <x:v>profile</x:v>
      </x:c>
      <x:c r="Q3" s="6" t="str">
        <x:v>status</x:v>
      </x:c>
    </x:row>
    <x:row r="4">
      <x:c r="A4" s="12" t="str">
        <x:f>Produits!A4</x:f>
        <x:v>MG-WHEY-001</x:v>
      </x:c>
      <x:c r="B4" s="12" t="str">
        <x:f>Produits!B4</x:f>
        <x:v>Whey protéine</x:v>
      </x:c>
      <x:c r="C4" s="12" t="n">
        <x:f>Produits!C4</x:f>
        <x:v>1</x:v>
      </x:c>
      <x:c r="D4" s="12" t="str">
        <x:f>Produits!D4</x:f>
        <x:v>Choix MuscuGuide</x:v>
      </x:c>
      <x:c r="E4" s="12" t="str">
        <x:f>Produits!E4</x:f>
        <x:v>Gold Standard 100% Whey</x:v>
      </x:c>
      <x:c r="F4" s="12" t="str">
        <x:f>Produits!F4</x:f>
        <x:v>Optimum Nutrition</x:v>
      </x:c>
      <x:c r="G4" s="12" t="n">
        <x:f>Produits!H4</x:f>
        <x:v>0</x:v>
      </x:c>
      <x:c r="H4" s="12" t="n">
        <x:f>Produits!I4</x:f>
        <x:v>0</x:v>
      </x:c>
      <x:c r="I4" s="12" t="n">
        <x:f>Produits!K4</x:f>
        <x:v>0</x:v>
      </x:c>
      <x:c r="J4" s="12" t="n">
        <x:f>Produits!L4</x:f>
        <x:v>0</x:v>
      </x:c>
      <x:c r="K4" s="12" t="n">
        <x:f>Produits!U4</x:f>
        <x:v>0</x:v>
      </x:c>
      <x:c r="L4" s="12" t="str">
        <x:f>Produits!V4</x:f>
      </x:c>
      <x:c r="M4" s="12" t="str">
        <x:f>Produits!Z4</x:f>
        <x:v>Référence polyvalente pour la majorité des pratiquants.</x:v>
      </x:c>
      <x:c r="N4" s="12" t="str">
        <x:f>Produits!AA4</x:f>
        <x:v>Bonne réputation | Formule connue | Large choix</x:v>
      </x:c>
      <x:c r="O4" s="12" t="str">
        <x:f>Produits!AB4</x:f>
        <x:v>Prix parfois élevé | Saveurs variables</x:v>
      </x:c>
      <x:c r="P4" s="12" t="str">
        <x:f>Produits!AC4</x:f>
        <x:v>Débutant à confirmé</x:v>
      </x:c>
      <x:c r="Q4" s="12" t="str">
        <x:f>Produits!AG4</x:f>
        <x:v>À rechercher</x:v>
      </x:c>
    </x:row>
    <x:row r="5">
      <x:c r="A5" s="12" t="str">
        <x:f>Produits!A5</x:f>
        <x:v>MG-WHEY-002</x:v>
      </x:c>
      <x:c r="B5" s="12" t="str">
        <x:f>Produits!B5</x:f>
        <x:v>Whey protéine</x:v>
      </x:c>
      <x:c r="C5" s="12" t="n">
        <x:f>Produits!C5</x:f>
        <x:v>2</x:v>
      </x:c>
      <x:c r="D5" s="12" t="str">
        <x:f>Produits!D5</x:f>
        <x:v>Meilleur rapport qualité/prix</x:v>
      </x:c>
      <x:c r="E5" s="12" t="str">
        <x:f>Produits!E5</x:f>
        <x:v>Critical Whey</x:v>
      </x:c>
      <x:c r="F5" s="12" t="str">
        <x:f>Produits!F5</x:f>
        <x:v>Applied Nutrition</x:v>
      </x:c>
      <x:c r="G5" s="12" t="n">
        <x:f>Produits!H5</x:f>
        <x:v>0</x:v>
      </x:c>
      <x:c r="H5" s="12" t="n">
        <x:f>Produits!I5</x:f>
        <x:v>0</x:v>
      </x:c>
      <x:c r="I5" s="12" t="n">
        <x:f>Produits!K5</x:f>
        <x:v>0</x:v>
      </x:c>
      <x:c r="J5" s="12" t="n">
        <x:f>Produits!L5</x:f>
        <x:v>0</x:v>
      </x:c>
      <x:c r="K5" s="12" t="n">
        <x:f>Produits!U5</x:f>
        <x:v>0</x:v>
      </x:c>
      <x:c r="L5" s="12" t="n">
        <x:f>Produits!V5</x:f>
        <x:v>0</x:v>
      </x:c>
      <x:c r="M5" s="12" t="str">
        <x:f>Produits!Z5</x:f>
        <x:v>Option accessible pour une consommation régulière.</x:v>
      </x:c>
      <x:c r="N5" s="12" t="str">
        <x:f>Produits!AA5</x:f>
        <x:v>Tarif compétitif | Marque connue | Polyvalente</x:v>
      </x:c>
      <x:c r="O5" s="12" t="str">
        <x:f>Produits!AB5</x:f>
        <x:v>Composition à comparer selon parfum</x:v>
      </x:c>
      <x:c r="P5" s="12" t="str">
        <x:f>Produits!AC5</x:f>
        <x:v>Débutant / intermédiaire</x:v>
      </x:c>
      <x:c r="Q5" s="12" t="str">
        <x:f>Produits!AG5</x:f>
        <x:v>À rechercher</x:v>
      </x:c>
    </x:row>
    <x:row r="6">
      <x:c r="A6" s="12" t="str">
        <x:f>Produits!A6</x:f>
        <x:v>MG-WHEY-003</x:v>
      </x:c>
      <x:c r="B6" s="12" t="str">
        <x:f>Produits!B6</x:f>
        <x:v>Whey protéine</x:v>
      </x:c>
      <x:c r="C6" s="12" t="n">
        <x:f>Produits!C6</x:f>
        <x:v>3</x:v>
      </x:c>
      <x:c r="D6" s="12" t="str">
        <x:f>Produits!D6</x:f>
        <x:v>Premium</x:v>
      </x:c>
      <x:c r="E6" s="12" t="str">
        <x:f>Produits!E6</x:f>
        <x:v>Iso Whey Zero</x:v>
      </x:c>
      <x:c r="F6" s="12" t="str">
        <x:f>Produits!F6</x:f>
        <x:v>BioTechUSA</x:v>
      </x:c>
      <x:c r="G6" s="12" t="n">
        <x:f>Produits!H6</x:f>
        <x:v>0</x:v>
      </x:c>
      <x:c r="H6" s="12" t="n">
        <x:f>Produits!I6</x:f>
        <x:v>0</x:v>
      </x:c>
      <x:c r="I6" s="12" t="n">
        <x:f>Produits!K6</x:f>
        <x:v>0</x:v>
      </x:c>
      <x:c r="J6" s="12" t="n">
        <x:f>Produits!L6</x:f>
        <x:v>0</x:v>
      </x:c>
      <x:c r="K6" s="12" t="n">
        <x:f>Produits!U6</x:f>
        <x:v>0</x:v>
      </x:c>
      <x:c r="L6" s="12" t="str">
        <x:f>Produits!V6</x:f>
      </x:c>
      <x:c r="M6" s="12" t="str">
        <x:f>Produits!Z6</x:f>
        <x:v>Isolat premium pour les utilisateurs exigeants.</x:v>
      </x:c>
      <x:c r="N6" s="12" t="str">
        <x:f>Produits!AA6</x:f>
        <x:v>Faible teneur en sucres | Formule isolat | Image premium</x:v>
      </x:c>
      <x:c r="O6" s="12" t="str">
        <x:f>Produits!AB6</x:f>
        <x:v>Prix élevé</x:v>
      </x:c>
      <x:c r="P6" s="12" t="str">
        <x:f>Produits!AC6</x:f>
        <x:v>Intermédiaire / confirmé</x:v>
      </x:c>
      <x:c r="Q6" s="12" t="str">
        <x:f>Produits!AG6</x:f>
        <x:v>À rechercher</x:v>
      </x:c>
    </x:row>
    <x:row r="7">
      <x:c r="A7" s="12" t="str">
        <x:f>Produits!A7</x:f>
        <x:v>MG-CREA-001</x:v>
      </x:c>
      <x:c r="B7" s="12" t="str">
        <x:f>Produits!B7</x:f>
        <x:v>Créatine</x:v>
      </x:c>
      <x:c r="C7" s="12" t="n">
        <x:f>Produits!C7</x:f>
        <x:v>1</x:v>
      </x:c>
      <x:c r="D7" s="12" t="str">
        <x:f>Produits!D7</x:f>
        <x:v>Choix MuscuGuide</x:v>
      </x:c>
      <x:c r="E7" s="12" t="str">
        <x:f>Produits!E7</x:f>
        <x:v>Micronized Creatine Powder</x:v>
      </x:c>
      <x:c r="F7" s="12" t="str">
        <x:f>Produits!F7</x:f>
        <x:v>Optimum Nutrition</x:v>
      </x:c>
      <x:c r="G7" s="12" t="n">
        <x:f>Produits!H7</x:f>
        <x:v>0</x:v>
      </x:c>
      <x:c r="H7" s="12" t="n">
        <x:f>Produits!I7</x:f>
        <x:v>0</x:v>
      </x:c>
      <x:c r="I7" s="12" t="n">
        <x:f>Produits!K7</x:f>
        <x:v>0</x:v>
      </x:c>
      <x:c r="J7" s="12" t="n">
        <x:f>Produits!L7</x:f>
        <x:v>0</x:v>
      </x:c>
      <x:c r="K7" s="12" t="n">
        <x:f>Produits!U7</x:f>
        <x:v>0</x:v>
      </x:c>
      <x:c r="L7" s="12" t="str">
        <x:f>Produits!V7</x:f>
      </x:c>
      <x:c r="M7" s="12" t="str">
        <x:f>Produits!Z7</x:f>
        <x:v>Créatine micronisée simple et reconnue.</x:v>
      </x:c>
      <x:c r="N7" s="12" t="str">
        <x:f>Produits!AA7</x:f>
        <x:v>Marque reconnue | Formule simple | Facile à doser</x:v>
      </x:c>
      <x:c r="O7" s="12" t="str">
        <x:f>Produits!AB7</x:f>
        <x:v>Prix parfois supérieur aux génériques</x:v>
      </x:c>
      <x:c r="P7" s="12" t="str">
        <x:f>Produits!AC7</x:f>
        <x:v>Tous niveaux</x:v>
      </x:c>
      <x:c r="Q7" s="12" t="str">
        <x:f>Produits!AG7</x:f>
        <x:v>À rechercher</x:v>
      </x:c>
    </x:row>
    <x:row r="8">
      <x:c r="A8" s="12" t="str">
        <x:f>Produits!A8</x:f>
        <x:v>MG-CREA-002</x:v>
      </x:c>
      <x:c r="B8" s="12" t="str">
        <x:f>Produits!B8</x:f>
        <x:v>Créatine</x:v>
      </x:c>
      <x:c r="C8" s="12" t="n">
        <x:f>Produits!C8</x:f>
        <x:v>2</x:v>
      </x:c>
      <x:c r="D8" s="12" t="str">
        <x:f>Produits!D8</x:f>
        <x:v>Meilleur rapport qualité/prix</x:v>
      </x:c>
      <x:c r="E8" s="12" t="str">
        <x:f>Produits!E8</x:f>
        <x:v>Creatine Monohydrate</x:v>
      </x:c>
      <x:c r="F8" s="12" t="str">
        <x:f>Produits!F8</x:f>
        <x:v>Applied Nutrition</x:v>
      </x:c>
      <x:c r="G8" s="12" t="n">
        <x:f>Produits!H8</x:f>
        <x:v>0</x:v>
      </x:c>
      <x:c r="H8" s="12" t="n">
        <x:f>Produits!I8</x:f>
        <x:v>0</x:v>
      </x:c>
      <x:c r="I8" s="12" t="n">
        <x:f>Produits!K8</x:f>
        <x:v>0</x:v>
      </x:c>
      <x:c r="J8" s="12" t="n">
        <x:f>Produits!L8</x:f>
        <x:v>0</x:v>
      </x:c>
      <x:c r="K8" s="12" t="n">
        <x:f>Produits!U8</x:f>
        <x:v>0</x:v>
      </x:c>
      <x:c r="L8" s="12" t="n">
        <x:f>Produits!V8</x:f>
        <x:v>0</x:v>
      </x:c>
      <x:c r="M8" s="12" t="str">
        <x:f>Produits!Z8</x:f>
        <x:v>Monohydrate accessible pour un usage quotidien.</x:v>
      </x:c>
      <x:c r="N8" s="12" t="str">
        <x:f>Produits!AA8</x:f>
        <x:v>Bon prix | Formule simple | Marque fitness</x:v>
      </x:c>
      <x:c r="O8" s="12" t="str">
        <x:f>Produits!AB8</x:f>
        <x:v>Packaging selon version</x:v>
      </x:c>
      <x:c r="P8" s="12" t="str">
        <x:f>Produits!AC8</x:f>
        <x:v>Tous niveaux</x:v>
      </x:c>
      <x:c r="Q8" s="12" t="str">
        <x:f>Produits!AG8</x:f>
        <x:v>À rechercher</x:v>
      </x:c>
    </x:row>
    <x:row r="9">
      <x:c r="A9" s="12" t="str">
        <x:f>Produits!A9</x:f>
        <x:v>MG-CREA-003</x:v>
      </x:c>
      <x:c r="B9" s="12" t="str">
        <x:f>Produits!B9</x:f>
        <x:v>Créatine</x:v>
      </x:c>
      <x:c r="C9" s="12" t="n">
        <x:f>Produits!C9</x:f>
        <x:v>3</x:v>
      </x:c>
      <x:c r="D9" s="12" t="str">
        <x:f>Produits!D9</x:f>
        <x:v>Premium</x:v>
      </x:c>
      <x:c r="E9" s="12" t="str">
        <x:f>Produits!E9</x:f>
        <x:v>Créatine Creapure®</x:v>
      </x:c>
      <x:c r="F9" s="12" t="str">
        <x:f>Produits!F9</x:f>
        <x:v>À définir</x:v>
      </x:c>
      <x:c r="G9" s="12" t="n">
        <x:f>Produits!H9</x:f>
        <x:v>0</x:v>
      </x:c>
      <x:c r="H9" s="12" t="n">
        <x:f>Produits!I9</x:f>
        <x:v>0</x:v>
      </x:c>
      <x:c r="I9" s="12" t="n">
        <x:f>Produits!K9</x:f>
        <x:v>0</x:v>
      </x:c>
      <x:c r="J9" s="12" t="n">
        <x:f>Produits!L9</x:f>
        <x:v>0</x:v>
      </x:c>
      <x:c r="K9" s="12" t="n">
        <x:f>Produits!U9</x:f>
        <x:v>0</x:v>
      </x:c>
      <x:c r="L9" s="12" t="str">
        <x:f>Produits!V9</x:f>
      </x:c>
      <x:c r="M9" s="12" t="str">
        <x:f>Produits!Z9</x:f>
        <x:v>Option premium utilisant une matière première certifiée Creapure®.</x:v>
      </x:c>
      <x:c r="N9" s="12" t="str">
        <x:f>Produits!AA9</x:f>
        <x:v>Traçabilité | Pureté | Positionnement premium</x:v>
      </x:c>
      <x:c r="O9" s="12" t="str">
        <x:f>Produits!AB9</x:f>
        <x:v>Marque exacte à sélectionner</x:v>
      </x:c>
      <x:c r="P9" s="12" t="str">
        <x:f>Produits!AC9</x:f>
        <x:v>Intermédiaire / confirmé</x:v>
      </x:c>
      <x:c r="Q9" s="12" t="str">
        <x:f>Produits!AG9</x:f>
        <x:v>À rechercher</x:v>
      </x:c>
    </x:row>
    <x:row r="10">
      <x:c r="A10" s="12" t="str">
        <x:f>Produits!A10</x:f>
        <x:v>MG-HALT-001</x:v>
      </x:c>
      <x:c r="B10" s="12" t="str">
        <x:f>Produits!B10</x:f>
        <x:v>Haltères réglables</x:v>
      </x:c>
      <x:c r="C10" s="12" t="n">
        <x:f>Produits!C10</x:f>
        <x:v>1</x:v>
      </x:c>
      <x:c r="D10" s="12" t="str">
        <x:f>Produits!D10</x:f>
        <x:v>Choix MuscuGuide</x:v>
      </x:c>
      <x:c r="E10" s="12" t="str">
        <x:f>Produits!E10</x:f>
        <x:v>SelectTech 552</x:v>
      </x:c>
      <x:c r="F10" s="12" t="str">
        <x:f>Produits!F10</x:f>
        <x:v>Bowflex</x:v>
      </x:c>
      <x:c r="G10" s="12" t="n">
        <x:f>Produits!H10</x:f>
        <x:v>0</x:v>
      </x:c>
      <x:c r="H10" s="12" t="n">
        <x:f>Produits!I10</x:f>
        <x:v>0</x:v>
      </x:c>
      <x:c r="I10" s="12" t="n">
        <x:f>Produits!K10</x:f>
        <x:v>0</x:v>
      </x:c>
      <x:c r="J10" s="12" t="n">
        <x:f>Produits!L10</x:f>
        <x:v>0</x:v>
      </x:c>
      <x:c r="K10" s="12" t="n">
        <x:f>Produits!U10</x:f>
        <x:v>0</x:v>
      </x:c>
      <x:c r="L10" s="12" t="str">
        <x:f>Produits!V10</x:f>
      </x:c>
      <x:c r="M10" s="12" t="str">
        <x:f>Produits!Z10</x:f>
        <x:v>Paire réglable iconique pour home gym compact.</x:v>
      </x:c>
      <x:c r="N10" s="12" t="str">
        <x:f>Produits!AA10</x:f>
        <x:v>Réglage rapide | Gain de place | Marque connue</x:v>
      </x:c>
      <x:c r="O10" s="12" t="str">
        <x:f>Produits!AB10</x:f>
        <x:v>Amplitude encombrante | Prix</x:v>
      </x:c>
      <x:c r="P10" s="12" t="str">
        <x:f>Produits!AC10</x:f>
        <x:v>Home gym polyvalent</x:v>
      </x:c>
      <x:c r="Q10" s="12" t="str">
        <x:f>Produits!AG10</x:f>
        <x:v>À rechercher</x:v>
      </x:c>
    </x:row>
    <x:row r="11">
      <x:c r="A11" s="12" t="str">
        <x:f>Produits!A11</x:f>
        <x:v>MG-HALT-002</x:v>
      </x:c>
      <x:c r="B11" s="12" t="str">
        <x:f>Produits!B11</x:f>
        <x:v>Haltères réglables</x:v>
      </x:c>
      <x:c r="C11" s="12" t="n">
        <x:f>Produits!C11</x:f>
        <x:v>2</x:v>
      </x:c>
      <x:c r="D11" s="12" t="str">
        <x:f>Produits!D11</x:f>
        <x:v>Meilleur rapport qualité/prix</x:v>
      </x:c>
      <x:c r="E11" s="12" t="str">
        <x:f>Produits!E11</x:f>
        <x:v>Haltères réglables</x:v>
      </x:c>
      <x:c r="F11" s="12" t="str">
        <x:f>Produits!F11</x:f>
        <x:v>DH FitLife</x:v>
      </x:c>
      <x:c r="G11" s="12" t="n">
        <x:f>Produits!H11</x:f>
        <x:v>0</x:v>
      </x:c>
      <x:c r="H11" s="12" t="n">
        <x:f>Produits!I11</x:f>
        <x:v>0</x:v>
      </x:c>
      <x:c r="I11" s="12" t="n">
        <x:f>Produits!K11</x:f>
        <x:v>0</x:v>
      </x:c>
      <x:c r="J11" s="12" t="n">
        <x:f>Produits!L11</x:f>
        <x:v>0</x:v>
      </x:c>
      <x:c r="K11" s="12" t="n">
        <x:f>Produits!U11</x:f>
        <x:v>0</x:v>
      </x:c>
      <x:c r="L11" s="12" t="n">
        <x:f>Produits!V11</x:f>
        <x:v>0</x:v>
      </x:c>
      <x:c r="M11" s="12" t="str">
        <x:f>Produits!Z11</x:f>
        <x:v>Alternative plus accessible pour débuter.</x:v>
      </x:c>
      <x:c r="N11" s="12" t="str">
        <x:f>Produits!AA11</x:f>
        <x:v>Prix | Polyvalence | Gain de place</x:v>
      </x:c>
      <x:c r="O11" s="12" t="str">
        <x:f>Produits!AB11</x:f>
        <x:v>Disponibilité et SAV à vérifier</x:v>
      </x:c>
      <x:c r="P11" s="12" t="str">
        <x:f>Produits!AC11</x:f>
        <x:v>Débutant / intermédiaire</x:v>
      </x:c>
      <x:c r="Q11" s="12" t="str">
        <x:f>Produits!AG11</x:f>
        <x:v>À rechercher</x:v>
      </x:c>
    </x:row>
    <x:row r="12">
      <x:c r="A12" s="12" t="str">
        <x:f>Produits!A12</x:f>
        <x:v>MG-HALT-003</x:v>
      </x:c>
      <x:c r="B12" s="12" t="str">
        <x:f>Produits!B12</x:f>
        <x:v>Haltères réglables</x:v>
      </x:c>
      <x:c r="C12" s="12" t="n">
        <x:f>Produits!C12</x:f>
        <x:v>3</x:v>
      </x:c>
      <x:c r="D12" s="12" t="str">
        <x:f>Produits!D12</x:f>
        <x:v>Premium</x:v>
      </x:c>
      <x:c r="E12" s="12" t="str">
        <x:f>Produits!E12</x:f>
        <x:v>NÜOBELL</x:v>
      </x:c>
      <x:c r="F12" s="12" t="str">
        <x:f>Produits!F12</x:f>
        <x:v>NÜO Athletics</x:v>
      </x:c>
      <x:c r="G12" s="12" t="n">
        <x:f>Produits!H12</x:f>
        <x:v>0</x:v>
      </x:c>
      <x:c r="H12" s="12" t="n">
        <x:f>Produits!I12</x:f>
        <x:v>0</x:v>
      </x:c>
      <x:c r="I12" s="12" t="n">
        <x:f>Produits!K12</x:f>
        <x:v>0</x:v>
      </x:c>
      <x:c r="J12" s="12" t="n">
        <x:f>Produits!L12</x:f>
        <x:v>0</x:v>
      </x:c>
      <x:c r="K12" s="12" t="n">
        <x:f>Produits!U12</x:f>
        <x:v>0</x:v>
      </x:c>
      <x:c r="L12" s="12" t="str">
        <x:f>Produits!V12</x:f>
      </x:c>
      <x:c r="M12" s="12" t="str">
        <x:f>Produits!Z12</x:f>
        <x:v>Solution premium avec changement de charge fluide.</x:v>
      </x:c>
      <x:c r="N12" s="12" t="str">
        <x:f>Produits!AA12</x:f>
        <x:v>Finition | Ergonomie | Réglage rapide</x:v>
      </x:c>
      <x:c r="O12" s="12" t="str">
        <x:f>Produits!AB12</x:f>
        <x:v>Très cher | Disponibilité</x:v>
      </x:c>
      <x:c r="P12" s="12" t="str">
        <x:f>Produits!AC12</x:f>
        <x:v>Home gym premium</x:v>
      </x:c>
      <x:c r="Q12" s="12" t="str">
        <x:f>Produits!AG12</x:f>
        <x:v>À rechercher</x:v>
      </x:c>
    </x:row>
    <x:row r="13">
      <x:c r="A13" s="12" t="str">
        <x:f>Produits!A13</x:f>
        <x:v>MG-BANC-001</x:v>
      </x:c>
      <x:c r="B13" s="12" t="str">
        <x:f>Produits!B13</x:f>
        <x:v>Banc de musculation</x:v>
      </x:c>
      <x:c r="C13" s="12" t="n">
        <x:f>Produits!C13</x:f>
        <x:v>1</x:v>
      </x:c>
      <x:c r="D13" s="12" t="str">
        <x:f>Produits!D13</x:f>
        <x:v>Choix MuscuGuide</x:v>
      </x:c>
      <x:c r="E13" s="12" t="str">
        <x:f>Produits!E13</x:f>
        <x:v>Adjustable Weight Bench</x:v>
      </x:c>
      <x:c r="F13" s="12" t="str">
        <x:f>Produits!F13</x:f>
        <x:v>FLYBIRD</x:v>
      </x:c>
      <x:c r="G13" s="12" t="n">
        <x:f>Produits!H13</x:f>
        <x:v>0</x:v>
      </x:c>
      <x:c r="H13" s="12" t="n">
        <x:f>Produits!I13</x:f>
        <x:v>0</x:v>
      </x:c>
      <x:c r="I13" s="12" t="n">
        <x:f>Produits!K13</x:f>
        <x:v>0</x:v>
      </x:c>
      <x:c r="J13" s="12" t="n">
        <x:f>Produits!L13</x:f>
        <x:v>0</x:v>
      </x:c>
      <x:c r="K13" s="12" t="n">
        <x:f>Produits!U13</x:f>
        <x:v>0</x:v>
      </x:c>
      <x:c r="L13" s="12" t="str">
        <x:f>Produits!V13</x:f>
      </x:c>
      <x:c r="M13" s="12" t="str">
        <x:f>Produits!Z13</x:f>
        <x:v>Banc réglable et pliable adapté au home gym.</x:v>
      </x:c>
      <x:c r="N13" s="12" t="str">
        <x:f>Produits!AA13</x:f>
        <x:v>Pliable | Polyvalent | Populaire</x:v>
      </x:c>
      <x:c r="O13" s="12" t="str">
        <x:f>Produits!AB13</x:f>
        <x:v>Stabilité à vérifier selon version</x:v>
      </x:c>
      <x:c r="P13" s="12" t="str">
        <x:f>Produits!AC13</x:f>
        <x:v>Débutant à confirmé</x:v>
      </x:c>
      <x:c r="Q13" s="12" t="str">
        <x:f>Produits!AG13</x:f>
        <x:v>À rechercher</x:v>
      </x:c>
    </x:row>
    <x:row r="14">
      <x:c r="A14" s="12" t="str">
        <x:f>Produits!A14</x:f>
        <x:v>MG-BANC-002</x:v>
      </x:c>
      <x:c r="B14" s="12" t="str">
        <x:f>Produits!B14</x:f>
        <x:v>Banc de musculation</x:v>
      </x:c>
      <x:c r="C14" s="12" t="n">
        <x:f>Produits!C14</x:f>
        <x:v>2</x:v>
      </x:c>
      <x:c r="D14" s="12" t="str">
        <x:f>Produits!D14</x:f>
        <x:v>Meilleur rapport qualité/prix</x:v>
      </x:c>
      <x:c r="E14" s="12" t="str">
        <x:f>Produits!E14</x:f>
        <x:v>Adjustable Weight Bench</x:v>
      </x:c>
      <x:c r="F14" s="12" t="str">
        <x:f>Produits!F14</x:f>
        <x:v>YOLEO</x:v>
      </x:c>
      <x:c r="G14" s="12" t="n">
        <x:f>Produits!H14</x:f>
        <x:v>0</x:v>
      </x:c>
      <x:c r="H14" s="12" t="n">
        <x:f>Produits!I14</x:f>
        <x:v>0</x:v>
      </x:c>
      <x:c r="I14" s="12" t="n">
        <x:f>Produits!K14</x:f>
        <x:v>0</x:v>
      </x:c>
      <x:c r="J14" s="12" t="n">
        <x:f>Produits!L14</x:f>
        <x:v>0</x:v>
      </x:c>
      <x:c r="K14" s="12" t="n">
        <x:f>Produits!U14</x:f>
        <x:v>0</x:v>
      </x:c>
      <x:c r="L14" s="12" t="n">
        <x:f>Produits!V14</x:f>
        <x:v>0</x:v>
      </x:c>
      <x:c r="M14" s="12" t="str">
        <x:f>Produits!Z14</x:f>
        <x:v>Banc abordable pour débuter à domicile.</x:v>
      </x:c>
      <x:c r="N14" s="12" t="str">
        <x:f>Produits!AA14</x:f>
        <x:v>Prix | Pliable | Plusieurs inclinaisons</x:v>
      </x:c>
      <x:c r="O14" s="12" t="str">
        <x:f>Produits!AB14</x:f>
        <x:v>Charge et dimensions à vérifier</x:v>
      </x:c>
      <x:c r="P14" s="12" t="str">
        <x:f>Produits!AC14</x:f>
        <x:v>Débutant / intermédiaire</x:v>
      </x:c>
      <x:c r="Q14" s="12" t="str">
        <x:f>Produits!AG14</x:f>
        <x:v>À rechercher</x:v>
      </x:c>
    </x:row>
    <x:row r="15">
      <x:c r="A15" s="12" t="str">
        <x:f>Produits!A15</x:f>
        <x:v>MG-BANC-003</x:v>
      </x:c>
      <x:c r="B15" s="12" t="str">
        <x:f>Produits!B15</x:f>
        <x:v>Banc de musculation</x:v>
      </x:c>
      <x:c r="C15" s="12" t="n">
        <x:f>Produits!C15</x:f>
        <x:v>3</x:v>
      </x:c>
      <x:c r="D15" s="12" t="str">
        <x:f>Produits!D15</x:f>
        <x:v>Premium</x:v>
      </x:c>
      <x:c r="E15" s="12" t="str">
        <x:f>Produits!E15</x:f>
        <x:v>5.1S Stowable Bench</x:v>
      </x:c>
      <x:c r="F15" s="12" t="str">
        <x:f>Produits!F15</x:f>
        <x:v>Bowflex</x:v>
      </x:c>
      <x:c r="G15" s="12" t="n">
        <x:f>Produits!H15</x:f>
        <x:v>0</x:v>
      </x:c>
      <x:c r="H15" s="12" t="n">
        <x:f>Produits!I15</x:f>
        <x:v>0</x:v>
      </x:c>
      <x:c r="I15" s="12" t="n">
        <x:f>Produits!K15</x:f>
        <x:v>0</x:v>
      </x:c>
      <x:c r="J15" s="12" t="n">
        <x:f>Produits!L15</x:f>
        <x:v>0</x:v>
      </x:c>
      <x:c r="K15" s="12" t="n">
        <x:f>Produits!U15</x:f>
        <x:v>0</x:v>
      </x:c>
      <x:c r="L15" s="12" t="str">
        <x:f>Produits!V15</x:f>
      </x:c>
      <x:c r="M15" s="12" t="str">
        <x:f>Produits!Z15</x:f>
        <x:v>Banc premium stable et rangeable verticalement.</x:v>
      </x:c>
      <x:c r="N15" s="12" t="str">
        <x:f>Produits!AA15</x:f>
        <x:v>Finition | Stabilité | Rangement</x:v>
      </x:c>
      <x:c r="O15" s="12" t="str">
        <x:f>Produits!AB15</x:f>
        <x:v>Prix élevé | Lourd</x:v>
      </x:c>
      <x:c r="P15" s="12" t="str">
        <x:f>Produits!AC15</x:f>
        <x:v>Home gym premium</x:v>
      </x:c>
      <x:c r="Q15" s="12" t="str">
        <x:f>Produits!AG15</x:f>
        <x:v>À rechercher</x:v>
      </x:c>
    </x:row>
    <x:row r="16">
      <x:c r="A16" s="12" t="str">
        <x:f>Produits!A16</x:f>
        <x:v>MG-MONTRE-001</x:v>
      </x:c>
      <x:c r="B16" s="12" t="str">
        <x:f>Produits!B16</x:f>
        <x:v>Montre cardio</x:v>
      </x:c>
      <x:c r="C16" s="12" t="n">
        <x:f>Produits!C16</x:f>
        <x:v>1</x:v>
      </x:c>
      <x:c r="D16" s="12" t="str">
        <x:f>Produits!D16</x:f>
        <x:v>Choix MuscuGuide</x:v>
      </x:c>
      <x:c r="E16" s="12" t="str">
        <x:f>Produits!E16</x:f>
        <x:v>Vivoactive 5</x:v>
      </x:c>
      <x:c r="F16" s="12" t="str">
        <x:f>Produits!F16</x:f>
        <x:v>Garmin</x:v>
      </x:c>
      <x:c r="G16" s="12" t="n">
        <x:f>Produits!H16</x:f>
        <x:v>0</x:v>
      </x:c>
      <x:c r="H16" s="12" t="n">
        <x:f>Produits!I16</x:f>
        <x:v>0</x:v>
      </x:c>
      <x:c r="I16" s="12" t="n">
        <x:f>Produits!K16</x:f>
        <x:v>0</x:v>
      </x:c>
      <x:c r="J16" s="12" t="n">
        <x:f>Produits!L16</x:f>
        <x:v>0</x:v>
      </x:c>
      <x:c r="K16" s="12" t="n">
        <x:f>Produits!U16</x:f>
        <x:v>0</x:v>
      </x:c>
      <x:c r="L16" s="12" t="str">
        <x:f>Produits!V16</x:f>
      </x:c>
      <x:c r="M16" s="12" t="str">
        <x:f>Produits!Z16</x:f>
        <x:v>Montre polyvalente pour fitness, santé et cardio.</x:v>
      </x:c>
      <x:c r="N16" s="12" t="str">
        <x:f>Produits!AA16</x:f>
        <x:v>Autonomie | Suivi complet | Marque reconnue</x:v>
      </x:c>
      <x:c r="O16" s="12" t="str">
        <x:f>Produits!AB16</x:f>
        <x:v>Pas la plus avancée en sport outdoor</x:v>
      </x:c>
      <x:c r="P16" s="12" t="str">
        <x:f>Produits!AC16</x:f>
        <x:v>Fitness général</x:v>
      </x:c>
      <x:c r="Q16" s="12" t="str">
        <x:f>Produits!AG16</x:f>
        <x:v>À rechercher</x:v>
      </x:c>
    </x:row>
    <x:row r="17">
      <x:c r="A17" s="12" t="str">
        <x:f>Produits!A17</x:f>
        <x:v>MG-MONTRE-002</x:v>
      </x:c>
      <x:c r="B17" s="12" t="str">
        <x:f>Produits!B17</x:f>
        <x:v>Montre cardio</x:v>
      </x:c>
      <x:c r="C17" s="12" t="n">
        <x:f>Produits!C17</x:f>
        <x:v>2</x:v>
      </x:c>
      <x:c r="D17" s="12" t="str">
        <x:f>Produits!D17</x:f>
        <x:v>Meilleur rapport qualité/prix</x:v>
      </x:c>
      <x:c r="E17" s="12" t="str">
        <x:f>Produits!E17</x:f>
        <x:v>Balance</x:v>
      </x:c>
      <x:c r="F17" s="12" t="str">
        <x:f>Produits!F17</x:f>
        <x:v>Amazfit</x:v>
      </x:c>
      <x:c r="G17" s="12" t="n">
        <x:f>Produits!H17</x:f>
        <x:v>0</x:v>
      </x:c>
      <x:c r="H17" s="12" t="n">
        <x:f>Produits!I17</x:f>
        <x:v>0</x:v>
      </x:c>
      <x:c r="I17" s="12" t="n">
        <x:f>Produits!K17</x:f>
        <x:v>0</x:v>
      </x:c>
      <x:c r="J17" s="12" t="n">
        <x:f>Produits!L17</x:f>
        <x:v>0</x:v>
      </x:c>
      <x:c r="K17" s="12" t="n">
        <x:f>Produits!U17</x:f>
        <x:v>0</x:v>
      </x:c>
      <x:c r="L17" s="12" t="n">
        <x:f>Produits!V17</x:f>
        <x:v>0</x:v>
      </x:c>
      <x:c r="M17" s="12" t="str">
        <x:f>Produits!Z17</x:f>
        <x:v>Montre riche en fonctions à prix compétitif.</x:v>
      </x:c>
      <x:c r="N17" s="12" t="str">
        <x:f>Produits!AA17</x:f>
        <x:v>Écran | Autonomie | Fonctions</x:v>
      </x:c>
      <x:c r="O17" s="12" t="str">
        <x:f>Produits!AB17</x:f>
        <x:v>Écosystème moins mature que Garmin</x:v>
      </x:c>
      <x:c r="P17" s="12" t="str">
        <x:f>Produits!AC17</x:f>
        <x:v>Débutant / intermédiaire</x:v>
      </x:c>
      <x:c r="Q17" s="12" t="str">
        <x:f>Produits!AG17</x:f>
        <x:v>À rechercher</x:v>
      </x:c>
    </x:row>
    <x:row r="18">
      <x:c r="A18" s="12" t="str">
        <x:f>Produits!A18</x:f>
        <x:v>MG-MONTRE-003</x:v>
      </x:c>
      <x:c r="B18" s="12" t="str">
        <x:f>Produits!B18</x:f>
        <x:v>Montre cardio</x:v>
      </x:c>
      <x:c r="C18" s="12" t="n">
        <x:f>Produits!C18</x:f>
        <x:v>3</x:v>
      </x:c>
      <x:c r="D18" s="12" t="str">
        <x:f>Produits!D18</x:f>
        <x:v>Premium</x:v>
      </x:c>
      <x:c r="E18" s="12" t="str">
        <x:f>Produits!E18</x:f>
        <x:v>Fenix 8</x:v>
      </x:c>
      <x:c r="F18" s="12" t="str">
        <x:f>Produits!F18</x:f>
        <x:v>Garmin</x:v>
      </x:c>
      <x:c r="G18" s="12" t="n">
        <x:f>Produits!H18</x:f>
        <x:v>0</x:v>
      </x:c>
      <x:c r="H18" s="12" t="n">
        <x:f>Produits!I18</x:f>
        <x:v>0</x:v>
      </x:c>
      <x:c r="I18" s="12" t="n">
        <x:f>Produits!K18</x:f>
        <x:v>0</x:v>
      </x:c>
      <x:c r="J18" s="12" t="n">
        <x:f>Produits!L18</x:f>
        <x:v>0</x:v>
      </x:c>
      <x:c r="K18" s="12" t="n">
        <x:f>Produits!U18</x:f>
        <x:v>0</x:v>
      </x:c>
      <x:c r="L18" s="12" t="str">
        <x:f>Produits!V18</x:f>
      </x:c>
      <x:c r="M18" s="12" t="str">
        <x:f>Produits!Z18</x:f>
        <x:v>Montre multisport premium pour utilisateurs exigeants.</x:v>
      </x:c>
      <x:c r="N18" s="12" t="str">
        <x:f>Produits!AA18</x:f>
        <x:v>Robustesse | Cartographie | Fonctions avancées</x:v>
      </x:c>
      <x:c r="O18" s="12" t="str">
        <x:f>Produits!AB18</x:f>
        <x:v>Prix très élevé | Surdimensionnée pour certains</x:v>
      </x:c>
      <x:c r="P18" s="12" t="str">
        <x:f>Produits!AC18</x:f>
        <x:v>Sportif confirmé</x:v>
      </x:c>
      <x:c r="Q18" s="12" t="str">
        <x:f>Produits!AG18</x:f>
        <x:v>À rechercher</x:v>
      </x:c>
    </x:row>
    <x:row r="19">
      <x:c r="A19" s="12" t="str">
        <x:f>Produits!A19</x:f>
        <x:v>MG-TAPIS-001</x:v>
      </x:c>
      <x:c r="B19" s="12" t="str">
        <x:f>Produits!B19</x:f>
        <x:v>Tapis de course pliable</x:v>
      </x:c>
      <x:c r="C19" s="12" t="n">
        <x:f>Produits!C19</x:f>
        <x:v>1</x:v>
      </x:c>
      <x:c r="D19" s="12" t="str">
        <x:f>Produits!D19</x:f>
        <x:v>Choix MuscuGuide</x:v>
      </x:c>
      <x:c r="E19" s="12" t="str">
        <x:f>Produits!E19</x:f>
        <x:v>WalkingPad A1 Pro</x:v>
      </x:c>
      <x:c r="F19" s="12" t="str">
        <x:f>Produits!F19</x:f>
        <x:v>KingSmith</x:v>
      </x:c>
      <x:c r="G19" s="12" t="n">
        <x:f>Produits!H19</x:f>
        <x:v>0</x:v>
      </x:c>
      <x:c r="H19" s="12" t="n">
        <x:f>Produits!I19</x:f>
        <x:v>0</x:v>
      </x:c>
      <x:c r="I19" s="12" t="n">
        <x:f>Produits!K19</x:f>
        <x:v>0</x:v>
      </x:c>
      <x:c r="J19" s="12" t="n">
        <x:f>Produits!L19</x:f>
        <x:v>0</x:v>
      </x:c>
      <x:c r="K19" s="12" t="n">
        <x:f>Produits!U19</x:f>
        <x:v>0</x:v>
      </x:c>
      <x:c r="L19" s="12" t="str">
        <x:f>Produits!V19</x:f>
      </x:c>
      <x:c r="M19" s="12" t="str">
        <x:f>Produits!Z19</x:f>
        <x:v>Walking pad compact pour appartement et télétravail.</x:v>
      </x:c>
      <x:c r="N19" s="12" t="str">
        <x:f>Produits!AA19</x:f>
        <x:v>Compact | Silencieux | Pliable</x:v>
      </x:c>
      <x:c r="O19" s="12" t="str">
        <x:f>Produits!AB19</x:f>
        <x:v>Vitesse limitée | Pas pour course intense</x:v>
      </x:c>
      <x:c r="P19" s="12" t="str">
        <x:f>Produits!AC19</x:f>
        <x:v>Marche / petit espace</x:v>
      </x:c>
      <x:c r="Q19" s="12" t="str">
        <x:f>Produits!AG19</x:f>
        <x:v>À rechercher</x:v>
      </x:c>
    </x:row>
    <x:row r="20">
      <x:c r="A20" s="12" t="str">
        <x:f>Produits!A20</x:f>
        <x:v>MG-TAPIS-002</x:v>
      </x:c>
      <x:c r="B20" s="12" t="str">
        <x:f>Produits!B20</x:f>
        <x:v>Tapis de course pliable</x:v>
      </x:c>
      <x:c r="C20" s="12" t="n">
        <x:f>Produits!C20</x:f>
        <x:v>2</x:v>
      </x:c>
      <x:c r="D20" s="12" t="str">
        <x:f>Produits!D20</x:f>
        <x:v>Meilleur rapport qualité/prix</x:v>
      </x:c>
      <x:c r="E20" s="12" t="str">
        <x:f>Produits!E20</x:f>
        <x:v>Walking Pad</x:v>
      </x:c>
      <x:c r="F20" s="12" t="str">
        <x:f>Produits!F20</x:f>
        <x:v>CITYSPORTS</x:v>
      </x:c>
      <x:c r="G20" s="12" t="n">
        <x:f>Produits!H20</x:f>
        <x:v>0</x:v>
      </x:c>
      <x:c r="H20" s="12" t="n">
        <x:f>Produits!I20</x:f>
        <x:v>0</x:v>
      </x:c>
      <x:c r="I20" s="12" t="n">
        <x:f>Produits!K20</x:f>
        <x:v>0</x:v>
      </x:c>
      <x:c r="J20" s="12" t="n">
        <x:f>Produits!L20</x:f>
        <x:v>0</x:v>
      </x:c>
      <x:c r="K20" s="12" t="n">
        <x:f>Produits!U20</x:f>
        <x:v>0</x:v>
      </x:c>
      <x:c r="L20" s="12" t="n">
        <x:f>Produits!V20</x:f>
        <x:v>0</x:v>
      </x:c>
      <x:c r="M20" s="12" t="str">
        <x:f>Produits!Z20</x:f>
        <x:v>Solution accessible pour marcher à domicile.</x:v>
      </x:c>
      <x:c r="N20" s="12" t="str">
        <x:f>Produits!AA20</x:f>
        <x:v>Prix | Compact | Simple</x:v>
      </x:c>
      <x:c r="O20" s="12" t="str">
        <x:f>Produits!AB20</x:f>
        <x:v>SAV et longévité à vérifier</x:v>
      </x:c>
      <x:c r="P20" s="12" t="str">
        <x:f>Produits!AC20</x:f>
        <x:v>Débutant / marche</x:v>
      </x:c>
      <x:c r="Q20" s="12" t="str">
        <x:f>Produits!AG20</x:f>
        <x:v>À rechercher</x:v>
      </x:c>
    </x:row>
    <x:row r="21">
      <x:c r="A21" s="12" t="str">
        <x:f>Produits!A21</x:f>
        <x:v>MG-TAPIS-003</x:v>
      </x:c>
      <x:c r="B21" s="12" t="str">
        <x:f>Produits!B21</x:f>
        <x:v>Tapis de course pliable</x:v>
      </x:c>
      <x:c r="C21" s="12" t="n">
        <x:f>Produits!C21</x:f>
        <x:v>3</x:v>
      </x:c>
      <x:c r="D21" s="12" t="str">
        <x:f>Produits!D21</x:f>
        <x:v>Premium</x:v>
      </x:c>
      <x:c r="E21" s="12" t="str">
        <x:f>Produits!E21</x:f>
        <x:v>Commercial Series</x:v>
      </x:c>
      <x:c r="F21" s="12" t="str">
        <x:f>Produits!F21</x:f>
        <x:v>NordicTrack</x:v>
      </x:c>
      <x:c r="G21" s="12" t="n">
        <x:f>Produits!H21</x:f>
        <x:v>0</x:v>
      </x:c>
      <x:c r="H21" s="12" t="n">
        <x:f>Produits!I21</x:f>
        <x:v>0</x:v>
      </x:c>
      <x:c r="I21" s="12" t="n">
        <x:f>Produits!K21</x:f>
        <x:v>0</x:v>
      </x:c>
      <x:c r="J21" s="12" t="n">
        <x:f>Produits!L21</x:f>
        <x:v>0</x:v>
      </x:c>
      <x:c r="K21" s="12" t="n">
        <x:f>Produits!U21</x:f>
        <x:v>0</x:v>
      </x:c>
      <x:c r="L21" s="12" t="str">
        <x:f>Produits!V21</x:f>
      </x:c>
      <x:c r="M21" s="12" t="str">
        <x:f>Produits!Z21</x:f>
        <x:v>Tapis premium pour entraînement cardio complet.</x:v>
      </x:c>
      <x:c r="N21" s="12" t="str">
        <x:f>Produits!AA21</x:f>
        <x:v>Puissance | Confort | Fonctions connectées</x:v>
      </x:c>
      <x:c r="O21" s="12" t="str">
        <x:f>Produits!AB21</x:f>
        <x:v>Très cher | Encombrant</x:v>
      </x:c>
      <x:c r="P21" s="12" t="str">
        <x:f>Produits!AC21</x:f>
        <x:v>Sportif exigeant</x:v>
      </x:c>
      <x:c r="Q21" s="12" t="str">
        <x:f>Produits!AG21</x:f>
        <x:v>À rechercher</x:v>
      </x:c>
    </x:row>
    <x:row r="22">
      <x:c r="A22" s="12" t="str">
        <x:f>Produits!A22</x:f>
        <x:v>MG-VELO-001</x:v>
      </x:c>
      <x:c r="B22" s="12" t="str">
        <x:f>Produits!B22</x:f>
        <x:v>Vélo d'appartement</x:v>
      </x:c>
      <x:c r="C22" s="12" t="n">
        <x:f>Produits!C22</x:f>
        <x:v>1</x:v>
      </x:c>
      <x:c r="D22" s="12" t="str">
        <x:f>Produits!D22</x:f>
        <x:v>Choix MuscuGuide</x:v>
      </x:c>
      <x:c r="E22" s="12" t="str">
        <x:f>Produits!E22</x:f>
        <x:v>IC8</x:v>
      </x:c>
      <x:c r="F22" s="12" t="str">
        <x:f>Produits!F22</x:f>
        <x:v>Schwinn</x:v>
      </x:c>
      <x:c r="G22" s="12" t="n">
        <x:f>Produits!H22</x:f>
        <x:v>0</x:v>
      </x:c>
      <x:c r="H22" s="12" t="n">
        <x:f>Produits!I22</x:f>
        <x:v>0</x:v>
      </x:c>
      <x:c r="I22" s="12" t="n">
        <x:f>Produits!K22</x:f>
        <x:v>0</x:v>
      </x:c>
      <x:c r="J22" s="12" t="n">
        <x:f>Produits!L22</x:f>
        <x:v>0</x:v>
      </x:c>
      <x:c r="K22" s="12" t="n">
        <x:f>Produits!U22</x:f>
        <x:v>0</x:v>
      </x:c>
      <x:c r="L22" s="12" t="str">
        <x:f>Produits!V22</x:f>
      </x:c>
      <x:c r="M22" s="12" t="str">
        <x:f>Produits!Z22</x:f>
        <x:v>Vélo indoor robuste pour entraînements réguliers.</x:v>
      </x:c>
      <x:c r="N22" s="12" t="str">
        <x:f>Produits!AA22</x:f>
        <x:v>Stabilité | Résistance | Connectivité</x:v>
      </x:c>
      <x:c r="O22" s="12" t="str">
        <x:f>Produits!AB22</x:f>
        <x:v>Prix | Encombrement</x:v>
      </x:c>
      <x:c r="P22" s="12" t="str">
        <x:f>Produits!AC22</x:f>
        <x:v>Intermédiaire / confirmé</x:v>
      </x:c>
      <x:c r="Q22" s="12" t="str">
        <x:f>Produits!AG22</x:f>
        <x:v>À rechercher</x:v>
      </x:c>
    </x:row>
    <x:row r="23">
      <x:c r="A23" s="12" t="str">
        <x:f>Produits!A23</x:f>
        <x:v>MG-VELO-002</x:v>
      </x:c>
      <x:c r="B23" s="12" t="str">
        <x:f>Produits!B23</x:f>
        <x:v>Vélo d'appartement</x:v>
      </x:c>
      <x:c r="C23" s="12" t="n">
        <x:f>Produits!C23</x:f>
        <x:v>2</x:v>
      </x:c>
      <x:c r="D23" s="12" t="str">
        <x:f>Produits!D23</x:f>
        <x:v>Meilleur rapport qualité/prix</x:v>
      </x:c>
      <x:c r="E23" s="12" t="str">
        <x:f>Produits!E23</x:f>
        <x:v>ESX500</x:v>
      </x:c>
      <x:c r="F23" s="12" t="str">
        <x:f>Produits!F23</x:f>
        <x:v>Sportstech</x:v>
      </x:c>
      <x:c r="G23" s="12" t="n">
        <x:f>Produits!H23</x:f>
        <x:v>0</x:v>
      </x:c>
      <x:c r="H23" s="12" t="n">
        <x:f>Produits!I23</x:f>
        <x:v>0</x:v>
      </x:c>
      <x:c r="I23" s="12" t="n">
        <x:f>Produits!K23</x:f>
        <x:v>0</x:v>
      </x:c>
      <x:c r="J23" s="12" t="n">
        <x:f>Produits!L23</x:f>
        <x:v>0</x:v>
      </x:c>
      <x:c r="K23" s="12" t="n">
        <x:f>Produits!U23</x:f>
        <x:v>0</x:v>
      </x:c>
      <x:c r="L23" s="12" t="n">
        <x:f>Produits!V23</x:f>
        <x:v>0</x:v>
      </x:c>
      <x:c r="M23" s="12" t="str">
        <x:f>Produits!Z23</x:f>
        <x:v>Vélo d'appartement polyvalent à tarif contenu.</x:v>
      </x:c>
      <x:c r="N23" s="12" t="str">
        <x:f>Produits!AA23</x:f>
        <x:v>Rapport équipement/prix | Réglages</x:v>
      </x:c>
      <x:c r="O23" s="12" t="str">
        <x:f>Produits!AB23</x:f>
        <x:v>SAV et disponibilité à vérifier</x:v>
      </x:c>
      <x:c r="P23" s="12" t="str">
        <x:f>Produits!AC23</x:f>
        <x:v>Débutant / intermédiaire</x:v>
      </x:c>
      <x:c r="Q23" s="12" t="str">
        <x:f>Produits!AG23</x:f>
        <x:v>À rechercher</x:v>
      </x:c>
    </x:row>
    <x:row r="24">
      <x:c r="A24" s="12" t="str">
        <x:f>Produits!A24</x:f>
        <x:v>MG-VELO-003</x:v>
      </x:c>
      <x:c r="B24" s="12" t="str">
        <x:f>Produits!B24</x:f>
        <x:v>Vélo d'appartement</x:v>
      </x:c>
      <x:c r="C24" s="12" t="n">
        <x:f>Produits!C24</x:f>
        <x:v>3</x:v>
      </x:c>
      <x:c r="D24" s="12" t="str">
        <x:f>Produits!D24</x:f>
        <x:v>Premium</x:v>
      </x:c>
      <x:c r="E24" s="12" t="str">
        <x:f>Produits!E24</x:f>
        <x:v>S22i</x:v>
      </x:c>
      <x:c r="F24" s="12" t="str">
        <x:f>Produits!F24</x:f>
        <x:v>NordicTrack</x:v>
      </x:c>
      <x:c r="G24" s="12" t="n">
        <x:f>Produits!H24</x:f>
        <x:v>0</x:v>
      </x:c>
      <x:c r="H24" s="12" t="n">
        <x:f>Produits!I24</x:f>
        <x:v>0</x:v>
      </x:c>
      <x:c r="I24" s="12" t="n">
        <x:f>Produits!K24</x:f>
        <x:v>0</x:v>
      </x:c>
      <x:c r="J24" s="12" t="n">
        <x:f>Produits!L24</x:f>
        <x:v>0</x:v>
      </x:c>
      <x:c r="K24" s="12" t="n">
        <x:f>Produits!U24</x:f>
        <x:v>0</x:v>
      </x:c>
      <x:c r="L24" s="12" t="str">
        <x:f>Produits!V24</x:f>
      </x:c>
      <x:c r="M24" s="12" t="str">
        <x:f>Produits!Z24</x:f>
        <x:v>Vélo premium avec écran et entraînements connectés.</x:v>
      </x:c>
      <x:c r="N24" s="12" t="str">
        <x:f>Produits!AA24</x:f>
        <x:v>Écran | Immersion | Réglages</x:v>
      </x:c>
      <x:c r="O24" s="12" t="str">
        <x:f>Produits!AB24</x:f>
        <x:v>Très cher | Abonnement possible</x:v>
      </x:c>
      <x:c r="P24" s="12" t="str">
        <x:f>Produits!AC24</x:f>
        <x:v>Home gym premium</x:v>
      </x:c>
      <x:c r="Q24" s="12" t="str">
        <x:f>Produits!AG24</x:f>
        <x:v>À rechercher</x:v>
      </x:c>
    </x:row>
    <x:row r="25">
      <x:c r="A25" s="12" t="str">
        <x:f>Produits!A25</x:f>
        <x:v>MG-TRAC-001</x:v>
      </x:c>
      <x:c r="B25" s="12" t="str">
        <x:f>Produits!B25</x:f>
        <x:v>Barre de traction</x:v>
      </x:c>
      <x:c r="C25" s="12" t="n">
        <x:f>Produits!C25</x:f>
        <x:v>1</x:v>
      </x:c>
      <x:c r="D25" s="12" t="str">
        <x:f>Produits!D25</x:f>
        <x:v>Choix MuscuGuide</x:v>
      </x:c>
      <x:c r="E25" s="12" t="str">
        <x:f>Produits!E25</x:f>
        <x:v>KS300</x:v>
      </x:c>
      <x:c r="F25" s="12" t="str">
        <x:f>Produits!F25</x:f>
        <x:v>Sportstech</x:v>
      </x:c>
      <x:c r="G25" s="12" t="n">
        <x:f>Produits!H25</x:f>
        <x:v>0</x:v>
      </x:c>
      <x:c r="H25" s="12" t="n">
        <x:f>Produits!I25</x:f>
        <x:v>0</x:v>
      </x:c>
      <x:c r="I25" s="12" t="n">
        <x:f>Produits!K25</x:f>
        <x:v>0</x:v>
      </x:c>
      <x:c r="J25" s="12" t="n">
        <x:f>Produits!L25</x:f>
        <x:v>0</x:v>
      </x:c>
      <x:c r="K25" s="12" t="n">
        <x:f>Produits!U25</x:f>
        <x:v>0</x:v>
      </x:c>
      <x:c r="L25" s="12" t="str">
        <x:f>Produits!V25</x:f>
      </x:c>
      <x:c r="M25" s="12" t="str">
        <x:f>Produits!Z25</x:f>
        <x:v>Barre polyvalente pour entraînement du haut du corps.</x:v>
      </x:c>
      <x:c r="N25" s="12" t="str">
        <x:f>Produits!AA25</x:f>
        <x:v>Multiprises | Polyvalence | Marque connue</x:v>
      </x:c>
      <x:c r="O25" s="12" t="str">
        <x:f>Produits!AB25</x:f>
        <x:v>Compatibilité porte à vérifier</x:v>
      </x:c>
      <x:c r="P25" s="12" t="str">
        <x:f>Produits!AC25</x:f>
        <x:v>Home gym</x:v>
      </x:c>
      <x:c r="Q25" s="12" t="str">
        <x:f>Produits!AG25</x:f>
        <x:v>À rechercher</x:v>
      </x:c>
    </x:row>
    <x:row r="26">
      <x:c r="A26" s="12" t="str">
        <x:f>Produits!A26</x:f>
        <x:v>MG-TRAC-002</x:v>
      </x:c>
      <x:c r="B26" s="12" t="str">
        <x:f>Produits!B26</x:f>
        <x:v>Barre de traction</x:v>
      </x:c>
      <x:c r="C26" s="12" t="n">
        <x:f>Produits!C26</x:f>
        <x:v>2</x:v>
      </x:c>
      <x:c r="D26" s="12" t="str">
        <x:f>Produits!D26</x:f>
        <x:v>Meilleur rapport qualité/prix</x:v>
      </x:c>
      <x:c r="E26" s="12" t="str">
        <x:f>Produits!E26</x:f>
        <x:v>Wall Mounted Pull-Up Bar</x:v>
      </x:c>
      <x:c r="F26" s="12" t="str">
        <x:f>Produits!F26</x:f>
        <x:v>ONETWOFIT</x:v>
      </x:c>
      <x:c r="G26" s="12" t="n">
        <x:f>Produits!H26</x:f>
        <x:v>0</x:v>
      </x:c>
      <x:c r="H26" s="12" t="n">
        <x:f>Produits!I26</x:f>
        <x:v>0</x:v>
      </x:c>
      <x:c r="I26" s="12" t="n">
        <x:f>Produits!K26</x:f>
        <x:v>0</x:v>
      </x:c>
      <x:c r="J26" s="12" t="n">
        <x:f>Produits!L26</x:f>
        <x:v>0</x:v>
      </x:c>
      <x:c r="K26" s="12" t="n">
        <x:f>Produits!U26</x:f>
        <x:v>0</x:v>
      </x:c>
      <x:c r="L26" s="12" t="n">
        <x:f>Produits!V26</x:f>
        <x:v>0</x:v>
      </x:c>
      <x:c r="M26" s="12" t="str">
        <x:f>Produits!Z26</x:f>
        <x:v>Barre murale robuste à prix compétitif.</x:v>
      </x:c>
      <x:c r="N26" s="12" t="str">
        <x:f>Produits!AA26</x:f>
        <x:v>Stabilité | Multiprises | Prix</x:v>
      </x:c>
      <x:c r="O26" s="12" t="str">
        <x:f>Produits!AB26</x:f>
        <x:v>Installation avec perçage</x:v>
      </x:c>
      <x:c r="P26" s="12" t="str">
        <x:f>Produits!AC26</x:f>
        <x:v>Débutant à confirmé</x:v>
      </x:c>
      <x:c r="Q26" s="12" t="str">
        <x:f>Produits!AG26</x:f>
        <x:v>À rechercher</x:v>
      </x:c>
    </x:row>
    <x:row r="27">
      <x:c r="A27" s="12" t="str">
        <x:f>Produits!A27</x:f>
        <x:v>MG-TRAC-003</x:v>
      </x:c>
      <x:c r="B27" s="12" t="str">
        <x:f>Produits!B27</x:f>
        <x:v>Barre de traction</x:v>
      </x:c>
      <x:c r="C27" s="12" t="n">
        <x:f>Produits!C27</x:f>
        <x:v>3</x:v>
      </x:c>
      <x:c r="D27" s="12" t="str">
        <x:f>Produits!D27</x:f>
        <x:v>Premium</x:v>
      </x:c>
      <x:c r="E27" s="12" t="str">
        <x:f>Produits!E27</x:f>
        <x:v>Pull-Up &amp; Dip Bar</x:v>
      </x:c>
      <x:c r="F27" s="12" t="str">
        <x:f>Produits!F27</x:f>
        <x:v>Pullup &amp; Dip</x:v>
      </x:c>
      <x:c r="G27" s="12" t="n">
        <x:f>Produits!H27</x:f>
        <x:v>0</x:v>
      </x:c>
      <x:c r="H27" s="12" t="n">
        <x:f>Produits!I27</x:f>
        <x:v>0</x:v>
      </x:c>
      <x:c r="I27" s="12" t="n">
        <x:f>Produits!K27</x:f>
        <x:v>0</x:v>
      </x:c>
      <x:c r="J27" s="12" t="n">
        <x:f>Produits!L27</x:f>
        <x:v>0</x:v>
      </x:c>
      <x:c r="K27" s="12" t="n">
        <x:f>Produits!U27</x:f>
        <x:v>0</x:v>
      </x:c>
      <x:c r="L27" s="12" t="n">
        <x:f>Produits!V27</x:f>
        <x:v>0</x:v>
      </x:c>
      <x:c r="M27" s="12" t="str">
        <x:f>Produits!Z27</x:f>
        <x:v>Solution premium pour calisthénie et usage intensif.</x:v>
      </x:c>
      <x:c r="N27" s="12" t="str">
        <x:f>Produits!AA27</x:f>
        <x:v>Finition | Polyvalence | Stabilité</x:v>
      </x:c>
      <x:c r="O27" s="12" t="str">
        <x:f>Produits!AB27</x:f>
        <x:v>Prix élevé</x:v>
      </x:c>
      <x:c r="P27" s="12" t="str">
        <x:f>Produits!AC27</x:f>
        <x:v>Calisthénie / confirmé</x:v>
      </x:c>
      <x:c r="Q27" s="12" t="str">
        <x:f>Produits!AG27</x:f>
        <x:v>À rechercher</x:v>
      </x:c>
    </x:row>
    <x:row r="28">
      <x:c r="A28" s="12" t="n">
        <x:f>Produits!A28</x:f>
        <x:v>0</x:v>
      </x:c>
      <x:c r="B28" s="12" t="n">
        <x:f>Produits!B28</x:f>
        <x:v>0</x:v>
      </x:c>
      <x:c r="C28" s="12" t="n">
        <x:f>Produits!C28</x:f>
        <x:v>0</x:v>
      </x:c>
      <x:c r="D28" s="12" t="n">
        <x:f>Produits!D28</x:f>
        <x:v>0</x:v>
      </x:c>
      <x:c r="E28" s="12" t="n">
        <x:f>Produits!E28</x:f>
        <x:v>0</x:v>
      </x:c>
      <x:c r="F28" s="12" t="n">
        <x:f>Produits!F28</x:f>
        <x:v>0</x:v>
      </x:c>
      <x:c r="G28" s="12" t="n">
        <x:f>Produits!H28</x:f>
        <x:v>0</x:v>
      </x:c>
      <x:c r="H28" s="12" t="n">
        <x:f>Produits!I28</x:f>
        <x:v>0</x:v>
      </x:c>
      <x:c r="I28" s="12" t="n">
        <x:f>Produits!K28</x:f>
        <x:v>0</x:v>
      </x:c>
      <x:c r="J28" s="12" t="n">
        <x:f>Produits!L28</x:f>
        <x:v>0</x:v>
      </x:c>
      <x:c r="K28" s="12" t="str">
        <x:f>Produits!U28</x:f>
      </x:c>
      <x:c r="L28" s="12" t="n">
        <x:f>Produits!V28</x:f>
        <x:v>0</x:v>
      </x:c>
      <x:c r="M28" s="12" t="n">
        <x:f>Produits!Z28</x:f>
        <x:v>0</x:v>
      </x:c>
      <x:c r="N28" s="12" t="n">
        <x:f>Produits!AA28</x:f>
        <x:v>0</x:v>
      </x:c>
      <x:c r="O28" s="12" t="n">
        <x:f>Produits!AB28</x:f>
        <x:v>0</x:v>
      </x:c>
      <x:c r="P28" s="12" t="n">
        <x:f>Produits!AC28</x:f>
        <x:v>0</x:v>
      </x:c>
      <x:c r="Q28" s="12" t="n">
        <x:f>Produits!AG28</x:f>
        <x:v>0</x:v>
      </x:c>
    </x:row>
    <x:row r="29">
      <x:c r="A29" s="12" t="n">
        <x:f>Produits!A29</x:f>
        <x:v>0</x:v>
      </x:c>
      <x:c r="B29" s="12" t="n">
        <x:f>Produits!B29</x:f>
        <x:v>0</x:v>
      </x:c>
      <x:c r="C29" s="12" t="n">
        <x:f>Produits!C29</x:f>
        <x:v>0</x:v>
      </x:c>
      <x:c r="D29" s="12" t="n">
        <x:f>Produits!D29</x:f>
        <x:v>0</x:v>
      </x:c>
      <x:c r="E29" s="12" t="n">
        <x:f>Produits!E29</x:f>
        <x:v>0</x:v>
      </x:c>
      <x:c r="F29" s="12" t="n">
        <x:f>Produits!F29</x:f>
        <x:v>0</x:v>
      </x:c>
      <x:c r="G29" s="12" t="n">
        <x:f>Produits!H29</x:f>
        <x:v>0</x:v>
      </x:c>
      <x:c r="H29" s="12" t="n">
        <x:f>Produits!I29</x:f>
        <x:v>0</x:v>
      </x:c>
      <x:c r="I29" s="12" t="n">
        <x:f>Produits!K29</x:f>
        <x:v>0</x:v>
      </x:c>
      <x:c r="J29" s="12" t="n">
        <x:f>Produits!L29</x:f>
        <x:v>0</x:v>
      </x:c>
      <x:c r="K29" s="12" t="str">
        <x:f>Produits!U29</x:f>
      </x:c>
      <x:c r="L29" s="12" t="n">
        <x:f>Produits!V29</x:f>
        <x:v>0</x:v>
      </x:c>
      <x:c r="M29" s="12" t="n">
        <x:f>Produits!Z29</x:f>
        <x:v>0</x:v>
      </x:c>
      <x:c r="N29" s="12" t="n">
        <x:f>Produits!AA29</x:f>
        <x:v>0</x:v>
      </x:c>
      <x:c r="O29" s="12" t="n">
        <x:f>Produits!AB29</x:f>
        <x:v>0</x:v>
      </x:c>
      <x:c r="P29" s="12" t="n">
        <x:f>Produits!AC29</x:f>
        <x:v>0</x:v>
      </x:c>
      <x:c r="Q29" s="12" t="n">
        <x:f>Produits!AG29</x:f>
        <x:v>0</x:v>
      </x:c>
    </x:row>
    <x:row r="30">
      <x:c r="A30" s="12" t="n">
        <x:f>Produits!A30</x:f>
        <x:v>0</x:v>
      </x:c>
      <x:c r="B30" s="12" t="n">
        <x:f>Produits!B30</x:f>
        <x:v>0</x:v>
      </x:c>
      <x:c r="C30" s="12" t="n">
        <x:f>Produits!C30</x:f>
        <x:v>0</x:v>
      </x:c>
      <x:c r="D30" s="12" t="n">
        <x:f>Produits!D30</x:f>
        <x:v>0</x:v>
      </x:c>
      <x:c r="E30" s="12" t="n">
        <x:f>Produits!E30</x:f>
        <x:v>0</x:v>
      </x:c>
      <x:c r="F30" s="12" t="n">
        <x:f>Produits!F30</x:f>
        <x:v>0</x:v>
      </x:c>
      <x:c r="G30" s="12" t="n">
        <x:f>Produits!H30</x:f>
        <x:v>0</x:v>
      </x:c>
      <x:c r="H30" s="12" t="n">
        <x:f>Produits!I30</x:f>
        <x:v>0</x:v>
      </x:c>
      <x:c r="I30" s="12" t="n">
        <x:f>Produits!K30</x:f>
        <x:v>0</x:v>
      </x:c>
      <x:c r="J30" s="12" t="n">
        <x:f>Produits!L30</x:f>
        <x:v>0</x:v>
      </x:c>
      <x:c r="K30" s="12" t="str">
        <x:f>Produits!U30</x:f>
      </x:c>
      <x:c r="L30" s="12" t="n">
        <x:f>Produits!V30</x:f>
        <x:v>0</x:v>
      </x:c>
      <x:c r="M30" s="12" t="n">
        <x:f>Produits!Z30</x:f>
        <x:v>0</x:v>
      </x:c>
      <x:c r="N30" s="12" t="n">
        <x:f>Produits!AA30</x:f>
        <x:v>0</x:v>
      </x:c>
      <x:c r="O30" s="12" t="n">
        <x:f>Produits!AB30</x:f>
        <x:v>0</x:v>
      </x:c>
      <x:c r="P30" s="12" t="n">
        <x:f>Produits!AC30</x:f>
        <x:v>0</x:v>
      </x:c>
      <x:c r="Q30" s="12" t="n">
        <x:f>Produits!AG30</x:f>
        <x:v>0</x:v>
      </x:c>
    </x:row>
    <x:row r="31">
      <x:c r="A31" s="12" t="n">
        <x:f>Produits!A31</x:f>
        <x:v>0</x:v>
      </x:c>
      <x:c r="B31" s="12" t="n">
        <x:f>Produits!B31</x:f>
        <x:v>0</x:v>
      </x:c>
      <x:c r="C31" s="12" t="n">
        <x:f>Produits!C31</x:f>
        <x:v>0</x:v>
      </x:c>
      <x:c r="D31" s="12" t="n">
        <x:f>Produits!D31</x:f>
        <x:v>0</x:v>
      </x:c>
      <x:c r="E31" s="12" t="n">
        <x:f>Produits!E31</x:f>
        <x:v>0</x:v>
      </x:c>
      <x:c r="F31" s="12" t="n">
        <x:f>Produits!F31</x:f>
        <x:v>0</x:v>
      </x:c>
      <x:c r="G31" s="12" t="n">
        <x:f>Produits!H31</x:f>
        <x:v>0</x:v>
      </x:c>
      <x:c r="H31" s="12" t="n">
        <x:f>Produits!I31</x:f>
        <x:v>0</x:v>
      </x:c>
      <x:c r="I31" s="12" t="n">
        <x:f>Produits!K31</x:f>
        <x:v>0</x:v>
      </x:c>
      <x:c r="J31" s="12" t="n">
        <x:f>Produits!L31</x:f>
        <x:v>0</x:v>
      </x:c>
      <x:c r="K31" s="12" t="str">
        <x:f>Produits!U31</x:f>
      </x:c>
      <x:c r="L31" s="12" t="n">
        <x:f>Produits!V31</x:f>
        <x:v>0</x:v>
      </x:c>
      <x:c r="M31" s="12" t="n">
        <x:f>Produits!Z31</x:f>
        <x:v>0</x:v>
      </x:c>
      <x:c r="N31" s="12" t="n">
        <x:f>Produits!AA31</x:f>
        <x:v>0</x:v>
      </x:c>
      <x:c r="O31" s="12" t="n">
        <x:f>Produits!AB31</x:f>
        <x:v>0</x:v>
      </x:c>
      <x:c r="P31" s="12" t="n">
        <x:f>Produits!AC31</x:f>
        <x:v>0</x:v>
      </x:c>
      <x:c r="Q31" s="12" t="n">
        <x:f>Produits!AG31</x:f>
        <x:v>0</x:v>
      </x:c>
    </x:row>
    <x:row r="32">
      <x:c r="A32" s="12" t="n">
        <x:f>Produits!A32</x:f>
        <x:v>0</x:v>
      </x:c>
      <x:c r="B32" s="12" t="n">
        <x:f>Produits!B32</x:f>
        <x:v>0</x:v>
      </x:c>
      <x:c r="C32" s="12" t="n">
        <x:f>Produits!C32</x:f>
        <x:v>0</x:v>
      </x:c>
      <x:c r="D32" s="12" t="n">
        <x:f>Produits!D32</x:f>
        <x:v>0</x:v>
      </x:c>
      <x:c r="E32" s="12" t="n">
        <x:f>Produits!E32</x:f>
        <x:v>0</x:v>
      </x:c>
      <x:c r="F32" s="12" t="n">
        <x:f>Produits!F32</x:f>
        <x:v>0</x:v>
      </x:c>
      <x:c r="G32" s="12" t="n">
        <x:f>Produits!H32</x:f>
        <x:v>0</x:v>
      </x:c>
      <x:c r="H32" s="12" t="n">
        <x:f>Produits!I32</x:f>
        <x:v>0</x:v>
      </x:c>
      <x:c r="I32" s="12" t="n">
        <x:f>Produits!K32</x:f>
        <x:v>0</x:v>
      </x:c>
      <x:c r="J32" s="12" t="n">
        <x:f>Produits!L32</x:f>
        <x:v>0</x:v>
      </x:c>
      <x:c r="K32" s="12" t="str">
        <x:f>Produits!U32</x:f>
      </x:c>
      <x:c r="L32" s="12" t="n">
        <x:f>Produits!V32</x:f>
        <x:v>0</x:v>
      </x:c>
      <x:c r="M32" s="12" t="n">
        <x:f>Produits!Z32</x:f>
        <x:v>0</x:v>
      </x:c>
      <x:c r="N32" s="12" t="n">
        <x:f>Produits!AA32</x:f>
        <x:v>0</x:v>
      </x:c>
      <x:c r="O32" s="12" t="n">
        <x:f>Produits!AB32</x:f>
        <x:v>0</x:v>
      </x:c>
      <x:c r="P32" s="12" t="n">
        <x:f>Produits!AC32</x:f>
        <x:v>0</x:v>
      </x:c>
      <x:c r="Q32" s="12" t="n">
        <x:f>Produits!AG32</x:f>
        <x:v>0</x:v>
      </x:c>
    </x:row>
    <x:row r="33">
      <x:c r="A33" s="12" t="n">
        <x:f>Produits!A33</x:f>
        <x:v>0</x:v>
      </x:c>
      <x:c r="B33" s="12" t="n">
        <x:f>Produits!B33</x:f>
        <x:v>0</x:v>
      </x:c>
      <x:c r="C33" s="12" t="n">
        <x:f>Produits!C33</x:f>
        <x:v>0</x:v>
      </x:c>
      <x:c r="D33" s="12" t="n">
        <x:f>Produits!D33</x:f>
        <x:v>0</x:v>
      </x:c>
      <x:c r="E33" s="12" t="n">
        <x:f>Produits!E33</x:f>
        <x:v>0</x:v>
      </x:c>
      <x:c r="F33" s="12" t="n">
        <x:f>Produits!F33</x:f>
        <x:v>0</x:v>
      </x:c>
      <x:c r="G33" s="12" t="n">
        <x:f>Produits!H33</x:f>
        <x:v>0</x:v>
      </x:c>
      <x:c r="H33" s="12" t="n">
        <x:f>Produits!I33</x:f>
        <x:v>0</x:v>
      </x:c>
      <x:c r="I33" s="12" t="n">
        <x:f>Produits!K33</x:f>
        <x:v>0</x:v>
      </x:c>
      <x:c r="J33" s="12" t="n">
        <x:f>Produits!L33</x:f>
        <x:v>0</x:v>
      </x:c>
      <x:c r="K33" s="12" t="str">
        <x:f>Produits!U33</x:f>
      </x:c>
      <x:c r="L33" s="12" t="n">
        <x:f>Produits!V33</x:f>
        <x:v>0</x:v>
      </x:c>
      <x:c r="M33" s="12" t="n">
        <x:f>Produits!Z33</x:f>
        <x:v>0</x:v>
      </x:c>
      <x:c r="N33" s="12" t="n">
        <x:f>Produits!AA33</x:f>
        <x:v>0</x:v>
      </x:c>
      <x:c r="O33" s="12" t="n">
        <x:f>Produits!AB33</x:f>
        <x:v>0</x:v>
      </x:c>
      <x:c r="P33" s="12" t="n">
        <x:f>Produits!AC33</x:f>
        <x:v>0</x:v>
      </x:c>
      <x:c r="Q33" s="12" t="n">
        <x:f>Produits!AG33</x:f>
        <x:v>0</x:v>
      </x:c>
    </x:row>
    <x:row r="34">
      <x:c r="A34" s="12" t="n">
        <x:f>Produits!A34</x:f>
        <x:v>0</x:v>
      </x:c>
      <x:c r="B34" s="12" t="n">
        <x:f>Produits!B34</x:f>
        <x:v>0</x:v>
      </x:c>
      <x:c r="C34" s="12" t="n">
        <x:f>Produits!C34</x:f>
        <x:v>0</x:v>
      </x:c>
      <x:c r="D34" s="12" t="n">
        <x:f>Produits!D34</x:f>
        <x:v>0</x:v>
      </x:c>
      <x:c r="E34" s="12" t="n">
        <x:f>Produits!E34</x:f>
        <x:v>0</x:v>
      </x:c>
      <x:c r="F34" s="12" t="n">
        <x:f>Produits!F34</x:f>
        <x:v>0</x:v>
      </x:c>
      <x:c r="G34" s="12" t="n">
        <x:f>Produits!H34</x:f>
        <x:v>0</x:v>
      </x:c>
      <x:c r="H34" s="12" t="n">
        <x:f>Produits!I34</x:f>
        <x:v>0</x:v>
      </x:c>
      <x:c r="I34" s="12" t="n">
        <x:f>Produits!K34</x:f>
        <x:v>0</x:v>
      </x:c>
      <x:c r="J34" s="12" t="n">
        <x:f>Produits!L34</x:f>
        <x:v>0</x:v>
      </x:c>
      <x:c r="K34" s="12" t="str">
        <x:f>Produits!U34</x:f>
      </x:c>
      <x:c r="L34" s="12" t="n">
        <x:f>Produits!V34</x:f>
        <x:v>0</x:v>
      </x:c>
      <x:c r="M34" s="12" t="n">
        <x:f>Produits!Z34</x:f>
        <x:v>0</x:v>
      </x:c>
      <x:c r="N34" s="12" t="n">
        <x:f>Produits!AA34</x:f>
        <x:v>0</x:v>
      </x:c>
      <x:c r="O34" s="12" t="n">
        <x:f>Produits!AB34</x:f>
        <x:v>0</x:v>
      </x:c>
      <x:c r="P34" s="12" t="n">
        <x:f>Produits!AC34</x:f>
        <x:v>0</x:v>
      </x:c>
      <x:c r="Q34" s="12" t="n">
        <x:f>Produits!AG34</x:f>
        <x:v>0</x:v>
      </x:c>
    </x:row>
    <x:row r="35">
      <x:c r="A35" s="12" t="n">
        <x:f>Produits!A35</x:f>
        <x:v>0</x:v>
      </x:c>
      <x:c r="B35" s="12" t="n">
        <x:f>Produits!B35</x:f>
        <x:v>0</x:v>
      </x:c>
      <x:c r="C35" s="12" t="n">
        <x:f>Produits!C35</x:f>
        <x:v>0</x:v>
      </x:c>
      <x:c r="D35" s="12" t="n">
        <x:f>Produits!D35</x:f>
        <x:v>0</x:v>
      </x:c>
      <x:c r="E35" s="12" t="n">
        <x:f>Produits!E35</x:f>
        <x:v>0</x:v>
      </x:c>
      <x:c r="F35" s="12" t="n">
        <x:f>Produits!F35</x:f>
        <x:v>0</x:v>
      </x:c>
      <x:c r="G35" s="12" t="n">
        <x:f>Produits!H35</x:f>
        <x:v>0</x:v>
      </x:c>
      <x:c r="H35" s="12" t="n">
        <x:f>Produits!I35</x:f>
        <x:v>0</x:v>
      </x:c>
      <x:c r="I35" s="12" t="n">
        <x:f>Produits!K35</x:f>
        <x:v>0</x:v>
      </x:c>
      <x:c r="J35" s="12" t="n">
        <x:f>Produits!L35</x:f>
        <x:v>0</x:v>
      </x:c>
      <x:c r="K35" s="12" t="str">
        <x:f>Produits!U35</x:f>
      </x:c>
      <x:c r="L35" s="12" t="n">
        <x:f>Produits!V35</x:f>
        <x:v>0</x:v>
      </x:c>
      <x:c r="M35" s="12" t="n">
        <x:f>Produits!Z35</x:f>
        <x:v>0</x:v>
      </x:c>
      <x:c r="N35" s="12" t="n">
        <x:f>Produits!AA35</x:f>
        <x:v>0</x:v>
      </x:c>
      <x:c r="O35" s="12" t="n">
        <x:f>Produits!AB35</x:f>
        <x:v>0</x:v>
      </x:c>
      <x:c r="P35" s="12" t="n">
        <x:f>Produits!AC35</x:f>
        <x:v>0</x:v>
      </x:c>
      <x:c r="Q35" s="12" t="n">
        <x:f>Produits!AG35</x:f>
        <x:v>0</x:v>
      </x:c>
    </x:row>
    <x:row r="36">
      <x:c r="A36" s="12" t="n">
        <x:f>Produits!A36</x:f>
        <x:v>0</x:v>
      </x:c>
      <x:c r="B36" s="12" t="n">
        <x:f>Produits!B36</x:f>
        <x:v>0</x:v>
      </x:c>
      <x:c r="C36" s="12" t="n">
        <x:f>Produits!C36</x:f>
        <x:v>0</x:v>
      </x:c>
      <x:c r="D36" s="12" t="n">
        <x:f>Produits!D36</x:f>
        <x:v>0</x:v>
      </x:c>
      <x:c r="E36" s="12" t="n">
        <x:f>Produits!E36</x:f>
        <x:v>0</x:v>
      </x:c>
      <x:c r="F36" s="12" t="n">
        <x:f>Produits!F36</x:f>
        <x:v>0</x:v>
      </x:c>
      <x:c r="G36" s="12" t="n">
        <x:f>Produits!H36</x:f>
        <x:v>0</x:v>
      </x:c>
      <x:c r="H36" s="12" t="n">
        <x:f>Produits!I36</x:f>
        <x:v>0</x:v>
      </x:c>
      <x:c r="I36" s="12" t="n">
        <x:f>Produits!K36</x:f>
        <x:v>0</x:v>
      </x:c>
      <x:c r="J36" s="12" t="n">
        <x:f>Produits!L36</x:f>
        <x:v>0</x:v>
      </x:c>
      <x:c r="K36" s="12" t="str">
        <x:f>Produits!U36</x:f>
      </x:c>
      <x:c r="L36" s="12" t="n">
        <x:f>Produits!V36</x:f>
        <x:v>0</x:v>
      </x:c>
      <x:c r="M36" s="12" t="n">
        <x:f>Produits!Z36</x:f>
        <x:v>0</x:v>
      </x:c>
      <x:c r="N36" s="12" t="n">
        <x:f>Produits!AA36</x:f>
        <x:v>0</x:v>
      </x:c>
      <x:c r="O36" s="12" t="n">
        <x:f>Produits!AB36</x:f>
        <x:v>0</x:v>
      </x:c>
      <x:c r="P36" s="12" t="n">
        <x:f>Produits!AC36</x:f>
        <x:v>0</x:v>
      </x:c>
      <x:c r="Q36" s="12" t="n">
        <x:f>Produits!AG36</x:f>
        <x:v>0</x:v>
      </x:c>
    </x:row>
    <x:row r="37">
      <x:c r="A37" s="12" t="n">
        <x:f>Produits!A37</x:f>
        <x:v>0</x:v>
      </x:c>
      <x:c r="B37" s="12" t="n">
        <x:f>Produits!B37</x:f>
        <x:v>0</x:v>
      </x:c>
      <x:c r="C37" s="12" t="n">
        <x:f>Produits!C37</x:f>
        <x:v>0</x:v>
      </x:c>
      <x:c r="D37" s="12" t="n">
        <x:f>Produits!D37</x:f>
        <x:v>0</x:v>
      </x:c>
      <x:c r="E37" s="12" t="n">
        <x:f>Produits!E37</x:f>
        <x:v>0</x:v>
      </x:c>
      <x:c r="F37" s="12" t="n">
        <x:f>Produits!F37</x:f>
        <x:v>0</x:v>
      </x:c>
      <x:c r="G37" s="12" t="n">
        <x:f>Produits!H37</x:f>
        <x:v>0</x:v>
      </x:c>
      <x:c r="H37" s="12" t="n">
        <x:f>Produits!I37</x:f>
        <x:v>0</x:v>
      </x:c>
      <x:c r="I37" s="12" t="n">
        <x:f>Produits!K37</x:f>
        <x:v>0</x:v>
      </x:c>
      <x:c r="J37" s="12" t="n">
        <x:f>Produits!L37</x:f>
        <x:v>0</x:v>
      </x:c>
      <x:c r="K37" s="12" t="str">
        <x:f>Produits!U37</x:f>
      </x:c>
      <x:c r="L37" s="12" t="n">
        <x:f>Produits!V37</x:f>
        <x:v>0</x:v>
      </x:c>
      <x:c r="M37" s="12" t="n">
        <x:f>Produits!Z37</x:f>
        <x:v>0</x:v>
      </x:c>
      <x:c r="N37" s="12" t="n">
        <x:f>Produits!AA37</x:f>
        <x:v>0</x:v>
      </x:c>
      <x:c r="O37" s="12" t="n">
        <x:f>Produits!AB37</x:f>
        <x:v>0</x:v>
      </x:c>
      <x:c r="P37" s="12" t="n">
        <x:f>Produits!AC37</x:f>
        <x:v>0</x:v>
      </x:c>
      <x:c r="Q37" s="12" t="n">
        <x:f>Produits!AG37</x:f>
        <x:v>0</x:v>
      </x:c>
    </x:row>
    <x:row r="38">
      <x:c r="A38" s="12" t="n">
        <x:f>Produits!A38</x:f>
        <x:v>0</x:v>
      </x:c>
      <x:c r="B38" s="12" t="n">
        <x:f>Produits!B38</x:f>
        <x:v>0</x:v>
      </x:c>
      <x:c r="C38" s="12" t="n">
        <x:f>Produits!C38</x:f>
        <x:v>0</x:v>
      </x:c>
      <x:c r="D38" s="12" t="n">
        <x:f>Produits!D38</x:f>
        <x:v>0</x:v>
      </x:c>
      <x:c r="E38" s="12" t="n">
        <x:f>Produits!E38</x:f>
        <x:v>0</x:v>
      </x:c>
      <x:c r="F38" s="12" t="n">
        <x:f>Produits!F38</x:f>
        <x:v>0</x:v>
      </x:c>
      <x:c r="G38" s="12" t="n">
        <x:f>Produits!H38</x:f>
        <x:v>0</x:v>
      </x:c>
      <x:c r="H38" s="12" t="n">
        <x:f>Produits!I38</x:f>
        <x:v>0</x:v>
      </x:c>
      <x:c r="I38" s="12" t="n">
        <x:f>Produits!K38</x:f>
        <x:v>0</x:v>
      </x:c>
      <x:c r="J38" s="12" t="n">
        <x:f>Produits!L38</x:f>
        <x:v>0</x:v>
      </x:c>
      <x:c r="K38" s="12" t="str">
        <x:f>Produits!U38</x:f>
      </x:c>
      <x:c r="L38" s="12" t="n">
        <x:f>Produits!V38</x:f>
        <x:v>0</x:v>
      </x:c>
      <x:c r="M38" s="12" t="n">
        <x:f>Produits!Z38</x:f>
        <x:v>0</x:v>
      </x:c>
      <x:c r="N38" s="12" t="n">
        <x:f>Produits!AA38</x:f>
        <x:v>0</x:v>
      </x:c>
      <x:c r="O38" s="12" t="n">
        <x:f>Produits!AB38</x:f>
        <x:v>0</x:v>
      </x:c>
      <x:c r="P38" s="12" t="n">
        <x:f>Produits!AC38</x:f>
        <x:v>0</x:v>
      </x:c>
      <x:c r="Q38" s="12" t="n">
        <x:f>Produits!AG38</x:f>
        <x:v>0</x:v>
      </x:c>
    </x:row>
    <x:row r="39">
      <x:c r="A39" s="12" t="n">
        <x:f>Produits!A39</x:f>
        <x:v>0</x:v>
      </x:c>
      <x:c r="B39" s="12" t="n">
        <x:f>Produits!B39</x:f>
        <x:v>0</x:v>
      </x:c>
      <x:c r="C39" s="12" t="n">
        <x:f>Produits!C39</x:f>
        <x:v>0</x:v>
      </x:c>
      <x:c r="D39" s="12" t="n">
        <x:f>Produits!D39</x:f>
        <x:v>0</x:v>
      </x:c>
      <x:c r="E39" s="12" t="n">
        <x:f>Produits!E39</x:f>
        <x:v>0</x:v>
      </x:c>
      <x:c r="F39" s="12" t="n">
        <x:f>Produits!F39</x:f>
        <x:v>0</x:v>
      </x:c>
      <x:c r="G39" s="12" t="n">
        <x:f>Produits!H39</x:f>
        <x:v>0</x:v>
      </x:c>
      <x:c r="H39" s="12" t="n">
        <x:f>Produits!I39</x:f>
        <x:v>0</x:v>
      </x:c>
      <x:c r="I39" s="12" t="n">
        <x:f>Produits!K39</x:f>
        <x:v>0</x:v>
      </x:c>
      <x:c r="J39" s="12" t="n">
        <x:f>Produits!L39</x:f>
        <x:v>0</x:v>
      </x:c>
      <x:c r="K39" s="12" t="str">
        <x:f>Produits!U39</x:f>
      </x:c>
      <x:c r="L39" s="12" t="n">
        <x:f>Produits!V39</x:f>
        <x:v>0</x:v>
      </x:c>
      <x:c r="M39" s="12" t="n">
        <x:f>Produits!Z39</x:f>
        <x:v>0</x:v>
      </x:c>
      <x:c r="N39" s="12" t="n">
        <x:f>Produits!AA39</x:f>
        <x:v>0</x:v>
      </x:c>
      <x:c r="O39" s="12" t="n">
        <x:f>Produits!AB39</x:f>
        <x:v>0</x:v>
      </x:c>
      <x:c r="P39" s="12" t="n">
        <x:f>Produits!AC39</x:f>
        <x:v>0</x:v>
      </x:c>
      <x:c r="Q39" s="12" t="n">
        <x:f>Produits!AG39</x:f>
        <x:v>0</x:v>
      </x:c>
    </x:row>
    <x:row r="40">
      <x:c r="A40" s="12" t="n">
        <x:f>Produits!A40</x:f>
        <x:v>0</x:v>
      </x:c>
      <x:c r="B40" s="12" t="n">
        <x:f>Produits!B40</x:f>
        <x:v>0</x:v>
      </x:c>
      <x:c r="C40" s="12" t="n">
        <x:f>Produits!C40</x:f>
        <x:v>0</x:v>
      </x:c>
      <x:c r="D40" s="12" t="n">
        <x:f>Produits!D40</x:f>
        <x:v>0</x:v>
      </x:c>
      <x:c r="E40" s="12" t="n">
        <x:f>Produits!E40</x:f>
        <x:v>0</x:v>
      </x:c>
      <x:c r="F40" s="12" t="n">
        <x:f>Produits!F40</x:f>
        <x:v>0</x:v>
      </x:c>
      <x:c r="G40" s="12" t="n">
        <x:f>Produits!H40</x:f>
        <x:v>0</x:v>
      </x:c>
      <x:c r="H40" s="12" t="n">
        <x:f>Produits!I40</x:f>
        <x:v>0</x:v>
      </x:c>
      <x:c r="I40" s="12" t="n">
        <x:f>Produits!K40</x:f>
        <x:v>0</x:v>
      </x:c>
      <x:c r="J40" s="12" t="n">
        <x:f>Produits!L40</x:f>
        <x:v>0</x:v>
      </x:c>
      <x:c r="K40" s="12" t="str">
        <x:f>Produits!U40</x:f>
      </x:c>
      <x:c r="L40" s="12" t="n">
        <x:f>Produits!V40</x:f>
        <x:v>0</x:v>
      </x:c>
      <x:c r="M40" s="12" t="n">
        <x:f>Produits!Z40</x:f>
        <x:v>0</x:v>
      </x:c>
      <x:c r="N40" s="12" t="n">
        <x:f>Produits!AA40</x:f>
        <x:v>0</x:v>
      </x:c>
      <x:c r="O40" s="12" t="n">
        <x:f>Produits!AB40</x:f>
        <x:v>0</x:v>
      </x:c>
      <x:c r="P40" s="12" t="n">
        <x:f>Produits!AC40</x:f>
        <x:v>0</x:v>
      </x:c>
      <x:c r="Q40" s="12" t="n">
        <x:f>Produits!AG40</x:f>
        <x:v>0</x:v>
      </x:c>
    </x:row>
    <x:row r="41">
      <x:c r="A41" s="12" t="n">
        <x:f>Produits!A41</x:f>
        <x:v>0</x:v>
      </x:c>
      <x:c r="B41" s="12" t="n">
        <x:f>Produits!B41</x:f>
        <x:v>0</x:v>
      </x:c>
      <x:c r="C41" s="12" t="n">
        <x:f>Produits!C41</x:f>
        <x:v>0</x:v>
      </x:c>
      <x:c r="D41" s="12" t="n">
        <x:f>Produits!D41</x:f>
        <x:v>0</x:v>
      </x:c>
      <x:c r="E41" s="12" t="n">
        <x:f>Produits!E41</x:f>
        <x:v>0</x:v>
      </x:c>
      <x:c r="F41" s="12" t="n">
        <x:f>Produits!F41</x:f>
        <x:v>0</x:v>
      </x:c>
      <x:c r="G41" s="12" t="n">
        <x:f>Produits!H41</x:f>
        <x:v>0</x:v>
      </x:c>
      <x:c r="H41" s="12" t="n">
        <x:f>Produits!I41</x:f>
        <x:v>0</x:v>
      </x:c>
      <x:c r="I41" s="12" t="n">
        <x:f>Produits!K41</x:f>
        <x:v>0</x:v>
      </x:c>
      <x:c r="J41" s="12" t="n">
        <x:f>Produits!L41</x:f>
        <x:v>0</x:v>
      </x:c>
      <x:c r="K41" s="12" t="str">
        <x:f>Produits!U41</x:f>
      </x:c>
      <x:c r="L41" s="12" t="n">
        <x:f>Produits!V41</x:f>
        <x:v>0</x:v>
      </x:c>
      <x:c r="M41" s="12" t="n">
        <x:f>Produits!Z41</x:f>
        <x:v>0</x:v>
      </x:c>
      <x:c r="N41" s="12" t="n">
        <x:f>Produits!AA41</x:f>
        <x:v>0</x:v>
      </x:c>
      <x:c r="O41" s="12" t="n">
        <x:f>Produits!AB41</x:f>
        <x:v>0</x:v>
      </x:c>
      <x:c r="P41" s="12" t="n">
        <x:f>Produits!AC41</x:f>
        <x:v>0</x:v>
      </x:c>
      <x:c r="Q41" s="12" t="n">
        <x:f>Produits!AG41</x:f>
        <x:v>0</x:v>
      </x:c>
    </x:row>
    <x:row r="42">
      <x:c r="A42" s="12" t="n">
        <x:f>Produits!A42</x:f>
        <x:v>0</x:v>
      </x:c>
      <x:c r="B42" s="12" t="n">
        <x:f>Produits!B42</x:f>
        <x:v>0</x:v>
      </x:c>
      <x:c r="C42" s="12" t="n">
        <x:f>Produits!C42</x:f>
        <x:v>0</x:v>
      </x:c>
      <x:c r="D42" s="12" t="n">
        <x:f>Produits!D42</x:f>
        <x:v>0</x:v>
      </x:c>
      <x:c r="E42" s="12" t="n">
        <x:f>Produits!E42</x:f>
        <x:v>0</x:v>
      </x:c>
      <x:c r="F42" s="12" t="n">
        <x:f>Produits!F42</x:f>
        <x:v>0</x:v>
      </x:c>
      <x:c r="G42" s="12" t="n">
        <x:f>Produits!H42</x:f>
        <x:v>0</x:v>
      </x:c>
      <x:c r="H42" s="12" t="n">
        <x:f>Produits!I42</x:f>
        <x:v>0</x:v>
      </x:c>
      <x:c r="I42" s="12" t="n">
        <x:f>Produits!K42</x:f>
        <x:v>0</x:v>
      </x:c>
      <x:c r="J42" s="12" t="n">
        <x:f>Produits!L42</x:f>
        <x:v>0</x:v>
      </x:c>
      <x:c r="K42" s="12" t="str">
        <x:f>Produits!U42</x:f>
      </x:c>
      <x:c r="L42" s="12" t="n">
        <x:f>Produits!V42</x:f>
        <x:v>0</x:v>
      </x:c>
      <x:c r="M42" s="12" t="n">
        <x:f>Produits!Z42</x:f>
        <x:v>0</x:v>
      </x:c>
      <x:c r="N42" s="12" t="n">
        <x:f>Produits!AA42</x:f>
        <x:v>0</x:v>
      </x:c>
      <x:c r="O42" s="12" t="n">
        <x:f>Produits!AB42</x:f>
        <x:v>0</x:v>
      </x:c>
      <x:c r="P42" s="12" t="n">
        <x:f>Produits!AC42</x:f>
        <x:v>0</x:v>
      </x:c>
      <x:c r="Q42" s="12" t="n">
        <x:f>Produits!AG42</x:f>
        <x:v>0</x:v>
      </x:c>
    </x:row>
    <x:row r="43">
      <x:c r="A43" s="12" t="n">
        <x:f>Produits!A43</x:f>
        <x:v>0</x:v>
      </x:c>
      <x:c r="B43" s="12" t="n">
        <x:f>Produits!B43</x:f>
        <x:v>0</x:v>
      </x:c>
      <x:c r="C43" s="12" t="n">
        <x:f>Produits!C43</x:f>
        <x:v>0</x:v>
      </x:c>
      <x:c r="D43" s="12" t="n">
        <x:f>Produits!D43</x:f>
        <x:v>0</x:v>
      </x:c>
      <x:c r="E43" s="12" t="n">
        <x:f>Produits!E43</x:f>
        <x:v>0</x:v>
      </x:c>
      <x:c r="F43" s="12" t="n">
        <x:f>Produits!F43</x:f>
        <x:v>0</x:v>
      </x:c>
      <x:c r="G43" s="12" t="n">
        <x:f>Produits!H43</x:f>
        <x:v>0</x:v>
      </x:c>
      <x:c r="H43" s="12" t="n">
        <x:f>Produits!I43</x:f>
        <x:v>0</x:v>
      </x:c>
      <x:c r="I43" s="12" t="n">
        <x:f>Produits!K43</x:f>
        <x:v>0</x:v>
      </x:c>
      <x:c r="J43" s="12" t="n">
        <x:f>Produits!L43</x:f>
        <x:v>0</x:v>
      </x:c>
      <x:c r="K43" s="12" t="str">
        <x:f>Produits!U43</x:f>
      </x:c>
      <x:c r="L43" s="12" t="n">
        <x:f>Produits!V43</x:f>
        <x:v>0</x:v>
      </x:c>
      <x:c r="M43" s="12" t="n">
        <x:f>Produits!Z43</x:f>
        <x:v>0</x:v>
      </x:c>
      <x:c r="N43" s="12" t="n">
        <x:f>Produits!AA43</x:f>
        <x:v>0</x:v>
      </x:c>
      <x:c r="O43" s="12" t="n">
        <x:f>Produits!AB43</x:f>
        <x:v>0</x:v>
      </x:c>
      <x:c r="P43" s="12" t="n">
        <x:f>Produits!AC43</x:f>
        <x:v>0</x:v>
      </x:c>
      <x:c r="Q43" s="12" t="n">
        <x:f>Produits!AG43</x:f>
        <x:v>0</x:v>
      </x:c>
    </x:row>
    <x:row r="44">
      <x:c r="A44" s="12" t="n">
        <x:f>Produits!A44</x:f>
        <x:v>0</x:v>
      </x:c>
      <x:c r="B44" s="12" t="n">
        <x:f>Produits!B44</x:f>
        <x:v>0</x:v>
      </x:c>
      <x:c r="C44" s="12" t="n">
        <x:f>Produits!C44</x:f>
        <x:v>0</x:v>
      </x:c>
      <x:c r="D44" s="12" t="n">
        <x:f>Produits!D44</x:f>
        <x:v>0</x:v>
      </x:c>
      <x:c r="E44" s="12" t="n">
        <x:f>Produits!E44</x:f>
        <x:v>0</x:v>
      </x:c>
      <x:c r="F44" s="12" t="n">
        <x:f>Produits!F44</x:f>
        <x:v>0</x:v>
      </x:c>
      <x:c r="G44" s="12" t="n">
        <x:f>Produits!H44</x:f>
        <x:v>0</x:v>
      </x:c>
      <x:c r="H44" s="12" t="n">
        <x:f>Produits!I44</x:f>
        <x:v>0</x:v>
      </x:c>
      <x:c r="I44" s="12" t="n">
        <x:f>Produits!K44</x:f>
        <x:v>0</x:v>
      </x:c>
      <x:c r="J44" s="12" t="n">
        <x:f>Produits!L44</x:f>
        <x:v>0</x:v>
      </x:c>
      <x:c r="K44" s="12" t="str">
        <x:f>Produits!U44</x:f>
      </x:c>
      <x:c r="L44" s="12" t="n">
        <x:f>Produits!V44</x:f>
        <x:v>0</x:v>
      </x:c>
      <x:c r="M44" s="12" t="n">
        <x:f>Produits!Z44</x:f>
        <x:v>0</x:v>
      </x:c>
      <x:c r="N44" s="12" t="n">
        <x:f>Produits!AA44</x:f>
        <x:v>0</x:v>
      </x:c>
      <x:c r="O44" s="12" t="n">
        <x:f>Produits!AB44</x:f>
        <x:v>0</x:v>
      </x:c>
      <x:c r="P44" s="12" t="n">
        <x:f>Produits!AC44</x:f>
        <x:v>0</x:v>
      </x:c>
      <x:c r="Q44" s="12" t="n">
        <x:f>Produits!AG44</x:f>
        <x:v>0</x:v>
      </x:c>
    </x:row>
    <x:row r="45">
      <x:c r="A45" s="12" t="n">
        <x:f>Produits!A45</x:f>
        <x:v>0</x:v>
      </x:c>
      <x:c r="B45" s="12" t="n">
        <x:f>Produits!B45</x:f>
        <x:v>0</x:v>
      </x:c>
      <x:c r="C45" s="12" t="n">
        <x:f>Produits!C45</x:f>
        <x:v>0</x:v>
      </x:c>
      <x:c r="D45" s="12" t="n">
        <x:f>Produits!D45</x:f>
        <x:v>0</x:v>
      </x:c>
      <x:c r="E45" s="12" t="n">
        <x:f>Produits!E45</x:f>
        <x:v>0</x:v>
      </x:c>
      <x:c r="F45" s="12" t="n">
        <x:f>Produits!F45</x:f>
        <x:v>0</x:v>
      </x:c>
      <x:c r="G45" s="12" t="n">
        <x:f>Produits!H45</x:f>
        <x:v>0</x:v>
      </x:c>
      <x:c r="H45" s="12" t="n">
        <x:f>Produits!I45</x:f>
        <x:v>0</x:v>
      </x:c>
      <x:c r="I45" s="12" t="n">
        <x:f>Produits!K45</x:f>
        <x:v>0</x:v>
      </x:c>
      <x:c r="J45" s="12" t="n">
        <x:f>Produits!L45</x:f>
        <x:v>0</x:v>
      </x:c>
      <x:c r="K45" s="12" t="str">
        <x:f>Produits!U45</x:f>
      </x:c>
      <x:c r="L45" s="12" t="n">
        <x:f>Produits!V45</x:f>
        <x:v>0</x:v>
      </x:c>
      <x:c r="M45" s="12" t="n">
        <x:f>Produits!Z45</x:f>
        <x:v>0</x:v>
      </x:c>
      <x:c r="N45" s="12" t="n">
        <x:f>Produits!AA45</x:f>
        <x:v>0</x:v>
      </x:c>
      <x:c r="O45" s="12" t="n">
        <x:f>Produits!AB45</x:f>
        <x:v>0</x:v>
      </x:c>
      <x:c r="P45" s="12" t="n">
        <x:f>Produits!AC45</x:f>
        <x:v>0</x:v>
      </x:c>
      <x:c r="Q45" s="12" t="n">
        <x:f>Produits!AG45</x:f>
        <x:v>0</x:v>
      </x:c>
    </x:row>
    <x:row r="46">
      <x:c r="A46" s="12" t="n">
        <x:f>Produits!A46</x:f>
        <x:v>0</x:v>
      </x:c>
      <x:c r="B46" s="12" t="n">
        <x:f>Produits!B46</x:f>
        <x:v>0</x:v>
      </x:c>
      <x:c r="C46" s="12" t="n">
        <x:f>Produits!C46</x:f>
        <x:v>0</x:v>
      </x:c>
      <x:c r="D46" s="12" t="n">
        <x:f>Produits!D46</x:f>
        <x:v>0</x:v>
      </x:c>
      <x:c r="E46" s="12" t="n">
        <x:f>Produits!E46</x:f>
        <x:v>0</x:v>
      </x:c>
      <x:c r="F46" s="12" t="n">
        <x:f>Produits!F46</x:f>
        <x:v>0</x:v>
      </x:c>
      <x:c r="G46" s="12" t="n">
        <x:f>Produits!H46</x:f>
        <x:v>0</x:v>
      </x:c>
      <x:c r="H46" s="12" t="n">
        <x:f>Produits!I46</x:f>
        <x:v>0</x:v>
      </x:c>
      <x:c r="I46" s="12" t="n">
        <x:f>Produits!K46</x:f>
        <x:v>0</x:v>
      </x:c>
      <x:c r="J46" s="12" t="n">
        <x:f>Produits!L46</x:f>
        <x:v>0</x:v>
      </x:c>
      <x:c r="K46" s="12" t="str">
        <x:f>Produits!U46</x:f>
      </x:c>
      <x:c r="L46" s="12" t="n">
        <x:f>Produits!V46</x:f>
        <x:v>0</x:v>
      </x:c>
      <x:c r="M46" s="12" t="n">
        <x:f>Produits!Z46</x:f>
        <x:v>0</x:v>
      </x:c>
      <x:c r="N46" s="12" t="n">
        <x:f>Produits!AA46</x:f>
        <x:v>0</x:v>
      </x:c>
      <x:c r="O46" s="12" t="n">
        <x:f>Produits!AB46</x:f>
        <x:v>0</x:v>
      </x:c>
      <x:c r="P46" s="12" t="n">
        <x:f>Produits!AC46</x:f>
        <x:v>0</x:v>
      </x:c>
      <x:c r="Q46" s="12" t="n">
        <x:f>Produits!AG46</x:f>
        <x:v>0</x:v>
      </x:c>
    </x:row>
    <x:row r="47">
      <x:c r="A47" s="12" t="n">
        <x:f>Produits!A47</x:f>
        <x:v>0</x:v>
      </x:c>
      <x:c r="B47" s="12" t="n">
        <x:f>Produits!B47</x:f>
        <x:v>0</x:v>
      </x:c>
      <x:c r="C47" s="12" t="n">
        <x:f>Produits!C47</x:f>
        <x:v>0</x:v>
      </x:c>
      <x:c r="D47" s="12" t="n">
        <x:f>Produits!D47</x:f>
        <x:v>0</x:v>
      </x:c>
      <x:c r="E47" s="12" t="n">
        <x:f>Produits!E47</x:f>
        <x:v>0</x:v>
      </x:c>
      <x:c r="F47" s="12" t="n">
        <x:f>Produits!F47</x:f>
        <x:v>0</x:v>
      </x:c>
      <x:c r="G47" s="12" t="n">
        <x:f>Produits!H47</x:f>
        <x:v>0</x:v>
      </x:c>
      <x:c r="H47" s="12" t="n">
        <x:f>Produits!I47</x:f>
        <x:v>0</x:v>
      </x:c>
      <x:c r="I47" s="12" t="n">
        <x:f>Produits!K47</x:f>
        <x:v>0</x:v>
      </x:c>
      <x:c r="J47" s="12" t="n">
        <x:f>Produits!L47</x:f>
        <x:v>0</x:v>
      </x:c>
      <x:c r="K47" s="12" t="str">
        <x:f>Produits!U47</x:f>
      </x:c>
      <x:c r="L47" s="12" t="n">
        <x:f>Produits!V47</x:f>
        <x:v>0</x:v>
      </x:c>
      <x:c r="M47" s="12" t="n">
        <x:f>Produits!Z47</x:f>
        <x:v>0</x:v>
      </x:c>
      <x:c r="N47" s="12" t="n">
        <x:f>Produits!AA47</x:f>
        <x:v>0</x:v>
      </x:c>
      <x:c r="O47" s="12" t="n">
        <x:f>Produits!AB47</x:f>
        <x:v>0</x:v>
      </x:c>
      <x:c r="P47" s="12" t="n">
        <x:f>Produits!AC47</x:f>
        <x:v>0</x:v>
      </x:c>
      <x:c r="Q47" s="12" t="n">
        <x:f>Produits!AG47</x:f>
        <x:v>0</x:v>
      </x:c>
    </x:row>
    <x:row r="48">
      <x:c r="A48" s="12" t="n">
        <x:f>Produits!A48</x:f>
        <x:v>0</x:v>
      </x:c>
      <x:c r="B48" s="12" t="n">
        <x:f>Produits!B48</x:f>
        <x:v>0</x:v>
      </x:c>
      <x:c r="C48" s="12" t="n">
        <x:f>Produits!C48</x:f>
        <x:v>0</x:v>
      </x:c>
      <x:c r="D48" s="12" t="n">
        <x:f>Produits!D48</x:f>
        <x:v>0</x:v>
      </x:c>
      <x:c r="E48" s="12" t="n">
        <x:f>Produits!E48</x:f>
        <x:v>0</x:v>
      </x:c>
      <x:c r="F48" s="12" t="n">
        <x:f>Produits!F48</x:f>
        <x:v>0</x:v>
      </x:c>
      <x:c r="G48" s="12" t="n">
        <x:f>Produits!H48</x:f>
        <x:v>0</x:v>
      </x:c>
      <x:c r="H48" s="12" t="n">
        <x:f>Produits!I48</x:f>
        <x:v>0</x:v>
      </x:c>
      <x:c r="I48" s="12" t="n">
        <x:f>Produits!K48</x:f>
        <x:v>0</x:v>
      </x:c>
      <x:c r="J48" s="12" t="n">
        <x:f>Produits!L48</x:f>
        <x:v>0</x:v>
      </x:c>
      <x:c r="K48" s="12" t="str">
        <x:f>Produits!U48</x:f>
      </x:c>
      <x:c r="L48" s="12" t="n">
        <x:f>Produits!V48</x:f>
        <x:v>0</x:v>
      </x:c>
      <x:c r="M48" s="12" t="n">
        <x:f>Produits!Z48</x:f>
        <x:v>0</x:v>
      </x:c>
      <x:c r="N48" s="12" t="n">
        <x:f>Produits!AA48</x:f>
        <x:v>0</x:v>
      </x:c>
      <x:c r="O48" s="12" t="n">
        <x:f>Produits!AB48</x:f>
        <x:v>0</x:v>
      </x:c>
      <x:c r="P48" s="12" t="n">
        <x:f>Produits!AC48</x:f>
        <x:v>0</x:v>
      </x:c>
      <x:c r="Q48" s="12" t="n">
        <x:f>Produits!AG48</x:f>
        <x:v>0</x:v>
      </x:c>
    </x:row>
    <x:row r="49">
      <x:c r="A49" s="12" t="n">
        <x:f>Produits!A49</x:f>
        <x:v>0</x:v>
      </x:c>
      <x:c r="B49" s="12" t="n">
        <x:f>Produits!B49</x:f>
        <x:v>0</x:v>
      </x:c>
      <x:c r="C49" s="12" t="n">
        <x:f>Produits!C49</x:f>
        <x:v>0</x:v>
      </x:c>
      <x:c r="D49" s="12" t="n">
        <x:f>Produits!D49</x:f>
        <x:v>0</x:v>
      </x:c>
      <x:c r="E49" s="12" t="n">
        <x:f>Produits!E49</x:f>
        <x:v>0</x:v>
      </x:c>
      <x:c r="F49" s="12" t="n">
        <x:f>Produits!F49</x:f>
        <x:v>0</x:v>
      </x:c>
      <x:c r="G49" s="12" t="n">
        <x:f>Produits!H49</x:f>
        <x:v>0</x:v>
      </x:c>
      <x:c r="H49" s="12" t="n">
        <x:f>Produits!I49</x:f>
        <x:v>0</x:v>
      </x:c>
      <x:c r="I49" s="12" t="n">
        <x:f>Produits!K49</x:f>
        <x:v>0</x:v>
      </x:c>
      <x:c r="J49" s="12" t="n">
        <x:f>Produits!L49</x:f>
        <x:v>0</x:v>
      </x:c>
      <x:c r="K49" s="12" t="str">
        <x:f>Produits!U49</x:f>
      </x:c>
      <x:c r="L49" s="12" t="n">
        <x:f>Produits!V49</x:f>
        <x:v>0</x:v>
      </x:c>
      <x:c r="M49" s="12" t="n">
        <x:f>Produits!Z49</x:f>
        <x:v>0</x:v>
      </x:c>
      <x:c r="N49" s="12" t="n">
        <x:f>Produits!AA49</x:f>
        <x:v>0</x:v>
      </x:c>
      <x:c r="O49" s="12" t="n">
        <x:f>Produits!AB49</x:f>
        <x:v>0</x:v>
      </x:c>
      <x:c r="P49" s="12" t="n">
        <x:f>Produits!AC49</x:f>
        <x:v>0</x:v>
      </x:c>
      <x:c r="Q49" s="12" t="n">
        <x:f>Produits!AG49</x:f>
        <x:v>0</x:v>
      </x:c>
    </x:row>
    <x:row r="50">
      <x:c r="A50" s="12" t="n">
        <x:f>Produits!A50</x:f>
        <x:v>0</x:v>
      </x:c>
      <x:c r="B50" s="12" t="n">
        <x:f>Produits!B50</x:f>
        <x:v>0</x:v>
      </x:c>
      <x:c r="C50" s="12" t="n">
        <x:f>Produits!C50</x:f>
        <x:v>0</x:v>
      </x:c>
      <x:c r="D50" s="12" t="n">
        <x:f>Produits!D50</x:f>
        <x:v>0</x:v>
      </x:c>
      <x:c r="E50" s="12" t="n">
        <x:f>Produits!E50</x:f>
        <x:v>0</x:v>
      </x:c>
      <x:c r="F50" s="12" t="n">
        <x:f>Produits!F50</x:f>
        <x:v>0</x:v>
      </x:c>
      <x:c r="G50" s="12" t="n">
        <x:f>Produits!H50</x:f>
        <x:v>0</x:v>
      </x:c>
      <x:c r="H50" s="12" t="n">
        <x:f>Produits!I50</x:f>
        <x:v>0</x:v>
      </x:c>
      <x:c r="I50" s="12" t="n">
        <x:f>Produits!K50</x:f>
        <x:v>0</x:v>
      </x:c>
      <x:c r="J50" s="12" t="n">
        <x:f>Produits!L50</x:f>
        <x:v>0</x:v>
      </x:c>
      <x:c r="K50" s="12" t="str">
        <x:f>Produits!U50</x:f>
      </x:c>
      <x:c r="L50" s="12" t="n">
        <x:f>Produits!V50</x:f>
        <x:v>0</x:v>
      </x:c>
      <x:c r="M50" s="12" t="n">
        <x:f>Produits!Z50</x:f>
        <x:v>0</x:v>
      </x:c>
      <x:c r="N50" s="12" t="n">
        <x:f>Produits!AA50</x:f>
        <x:v>0</x:v>
      </x:c>
      <x:c r="O50" s="12" t="n">
        <x:f>Produits!AB50</x:f>
        <x:v>0</x:v>
      </x:c>
      <x:c r="P50" s="12" t="n">
        <x:f>Produits!AC50</x:f>
        <x:v>0</x:v>
      </x:c>
      <x:c r="Q50" s="12" t="n">
        <x:f>Produits!AG50</x:f>
        <x:v>0</x:v>
      </x:c>
    </x:row>
    <x:row r="51">
      <x:c r="A51" s="12" t="n">
        <x:f>Produits!A51</x:f>
        <x:v>0</x:v>
      </x:c>
      <x:c r="B51" s="12" t="n">
        <x:f>Produits!B51</x:f>
        <x:v>0</x:v>
      </x:c>
      <x:c r="C51" s="12" t="n">
        <x:f>Produits!C51</x:f>
        <x:v>0</x:v>
      </x:c>
      <x:c r="D51" s="12" t="n">
        <x:f>Produits!D51</x:f>
        <x:v>0</x:v>
      </x:c>
      <x:c r="E51" s="12" t="n">
        <x:f>Produits!E51</x:f>
        <x:v>0</x:v>
      </x:c>
      <x:c r="F51" s="12" t="n">
        <x:f>Produits!F51</x:f>
        <x:v>0</x:v>
      </x:c>
      <x:c r="G51" s="12" t="n">
        <x:f>Produits!H51</x:f>
        <x:v>0</x:v>
      </x:c>
      <x:c r="H51" s="12" t="n">
        <x:f>Produits!I51</x:f>
        <x:v>0</x:v>
      </x:c>
      <x:c r="I51" s="12" t="n">
        <x:f>Produits!K51</x:f>
        <x:v>0</x:v>
      </x:c>
      <x:c r="J51" s="12" t="n">
        <x:f>Produits!L51</x:f>
        <x:v>0</x:v>
      </x:c>
      <x:c r="K51" s="12" t="str">
        <x:f>Produits!U51</x:f>
      </x:c>
      <x:c r="L51" s="12" t="n">
        <x:f>Produits!V51</x:f>
        <x:v>0</x:v>
      </x:c>
      <x:c r="M51" s="12" t="n">
        <x:f>Produits!Z51</x:f>
        <x:v>0</x:v>
      </x:c>
      <x:c r="N51" s="12" t="n">
        <x:f>Produits!AA51</x:f>
        <x:v>0</x:v>
      </x:c>
      <x:c r="O51" s="12" t="n">
        <x:f>Produits!AB51</x:f>
        <x:v>0</x:v>
      </x:c>
      <x:c r="P51" s="12" t="n">
        <x:f>Produits!AC51</x:f>
        <x:v>0</x:v>
      </x:c>
      <x:c r="Q51" s="12" t="n">
        <x:f>Produits!AG51</x:f>
        <x:v>0</x:v>
      </x:c>
    </x:row>
    <x:row r="52">
      <x:c r="A52" s="12" t="n">
        <x:f>Produits!A52</x:f>
        <x:v>0</x:v>
      </x:c>
      <x:c r="B52" s="12" t="n">
        <x:f>Produits!B52</x:f>
        <x:v>0</x:v>
      </x:c>
      <x:c r="C52" s="12" t="n">
        <x:f>Produits!C52</x:f>
        <x:v>0</x:v>
      </x:c>
      <x:c r="D52" s="12" t="n">
        <x:f>Produits!D52</x:f>
        <x:v>0</x:v>
      </x:c>
      <x:c r="E52" s="12" t="n">
        <x:f>Produits!E52</x:f>
        <x:v>0</x:v>
      </x:c>
      <x:c r="F52" s="12" t="n">
        <x:f>Produits!F52</x:f>
        <x:v>0</x:v>
      </x:c>
      <x:c r="G52" s="12" t="n">
        <x:f>Produits!H52</x:f>
        <x:v>0</x:v>
      </x:c>
      <x:c r="H52" s="12" t="n">
        <x:f>Produits!I52</x:f>
        <x:v>0</x:v>
      </x:c>
      <x:c r="I52" s="12" t="n">
        <x:f>Produits!K52</x:f>
        <x:v>0</x:v>
      </x:c>
      <x:c r="J52" s="12" t="n">
        <x:f>Produits!L52</x:f>
        <x:v>0</x:v>
      </x:c>
      <x:c r="K52" s="12" t="str">
        <x:f>Produits!U52</x:f>
      </x:c>
      <x:c r="L52" s="12" t="n">
        <x:f>Produits!V52</x:f>
        <x:v>0</x:v>
      </x:c>
      <x:c r="M52" s="12" t="n">
        <x:f>Produits!Z52</x:f>
        <x:v>0</x:v>
      </x:c>
      <x:c r="N52" s="12" t="n">
        <x:f>Produits!AA52</x:f>
        <x:v>0</x:v>
      </x:c>
      <x:c r="O52" s="12" t="n">
        <x:f>Produits!AB52</x:f>
        <x:v>0</x:v>
      </x:c>
      <x:c r="P52" s="12" t="n">
        <x:f>Produits!AC52</x:f>
        <x:v>0</x:v>
      </x:c>
      <x:c r="Q52" s="12" t="n">
        <x:f>Produits!AG52</x:f>
        <x:v>0</x:v>
      </x:c>
    </x:row>
    <x:row r="53">
      <x:c r="A53" s="12" t="n">
        <x:f>Produits!A53</x:f>
        <x:v>0</x:v>
      </x:c>
      <x:c r="B53" s="12" t="n">
        <x:f>Produits!B53</x:f>
        <x:v>0</x:v>
      </x:c>
      <x:c r="C53" s="12" t="n">
        <x:f>Produits!C53</x:f>
        <x:v>0</x:v>
      </x:c>
      <x:c r="D53" s="12" t="n">
        <x:f>Produits!D53</x:f>
        <x:v>0</x:v>
      </x:c>
      <x:c r="E53" s="12" t="n">
        <x:f>Produits!E53</x:f>
        <x:v>0</x:v>
      </x:c>
      <x:c r="F53" s="12" t="n">
        <x:f>Produits!F53</x:f>
        <x:v>0</x:v>
      </x:c>
      <x:c r="G53" s="12" t="n">
        <x:f>Produits!H53</x:f>
        <x:v>0</x:v>
      </x:c>
      <x:c r="H53" s="12" t="n">
        <x:f>Produits!I53</x:f>
        <x:v>0</x:v>
      </x:c>
      <x:c r="I53" s="12" t="n">
        <x:f>Produits!K53</x:f>
        <x:v>0</x:v>
      </x:c>
      <x:c r="J53" s="12" t="n">
        <x:f>Produits!L53</x:f>
        <x:v>0</x:v>
      </x:c>
      <x:c r="K53" s="12" t="str">
        <x:f>Produits!U53</x:f>
      </x:c>
      <x:c r="L53" s="12" t="n">
        <x:f>Produits!V53</x:f>
        <x:v>0</x:v>
      </x:c>
      <x:c r="M53" s="12" t="n">
        <x:f>Produits!Z53</x:f>
        <x:v>0</x:v>
      </x:c>
      <x:c r="N53" s="12" t="n">
        <x:f>Produits!AA53</x:f>
        <x:v>0</x:v>
      </x:c>
      <x:c r="O53" s="12" t="n">
        <x:f>Produits!AB53</x:f>
        <x:v>0</x:v>
      </x:c>
      <x:c r="P53" s="12" t="n">
        <x:f>Produits!AC53</x:f>
        <x:v>0</x:v>
      </x:c>
      <x:c r="Q53" s="12" t="n">
        <x:f>Produits!AG53</x:f>
        <x:v>0</x:v>
      </x:c>
    </x:row>
    <x:row r="54">
      <x:c r="A54" s="12" t="n">
        <x:f>Produits!A54</x:f>
        <x:v>0</x:v>
      </x:c>
      <x:c r="B54" s="12" t="n">
        <x:f>Produits!B54</x:f>
        <x:v>0</x:v>
      </x:c>
      <x:c r="C54" s="12" t="n">
        <x:f>Produits!C54</x:f>
        <x:v>0</x:v>
      </x:c>
      <x:c r="D54" s="12" t="n">
        <x:f>Produits!D54</x:f>
        <x:v>0</x:v>
      </x:c>
      <x:c r="E54" s="12" t="n">
        <x:f>Produits!E54</x:f>
        <x:v>0</x:v>
      </x:c>
      <x:c r="F54" s="12" t="n">
        <x:f>Produits!F54</x:f>
        <x:v>0</x:v>
      </x:c>
      <x:c r="G54" s="12" t="n">
        <x:f>Produits!H54</x:f>
        <x:v>0</x:v>
      </x:c>
      <x:c r="H54" s="12" t="n">
        <x:f>Produits!I54</x:f>
        <x:v>0</x:v>
      </x:c>
      <x:c r="I54" s="12" t="n">
        <x:f>Produits!K54</x:f>
        <x:v>0</x:v>
      </x:c>
      <x:c r="J54" s="12" t="n">
        <x:f>Produits!L54</x:f>
        <x:v>0</x:v>
      </x:c>
      <x:c r="K54" s="12" t="str">
        <x:f>Produits!U54</x:f>
      </x:c>
      <x:c r="L54" s="12" t="n">
        <x:f>Produits!V54</x:f>
        <x:v>0</x:v>
      </x:c>
      <x:c r="M54" s="12" t="n">
        <x:f>Produits!Z54</x:f>
        <x:v>0</x:v>
      </x:c>
      <x:c r="N54" s="12" t="n">
        <x:f>Produits!AA54</x:f>
        <x:v>0</x:v>
      </x:c>
      <x:c r="O54" s="12" t="n">
        <x:f>Produits!AB54</x:f>
        <x:v>0</x:v>
      </x:c>
      <x:c r="P54" s="12" t="n">
        <x:f>Produits!AC54</x:f>
        <x:v>0</x:v>
      </x:c>
      <x:c r="Q54" s="12" t="n">
        <x:f>Produits!AG54</x:f>
        <x:v>0</x:v>
      </x:c>
    </x:row>
    <x:row r="55">
      <x:c r="A55" s="12" t="n">
        <x:f>Produits!A55</x:f>
        <x:v>0</x:v>
      </x:c>
      <x:c r="B55" s="12" t="n">
        <x:f>Produits!B55</x:f>
        <x:v>0</x:v>
      </x:c>
      <x:c r="C55" s="12" t="n">
        <x:f>Produits!C55</x:f>
        <x:v>0</x:v>
      </x:c>
      <x:c r="D55" s="12" t="n">
        <x:f>Produits!D55</x:f>
        <x:v>0</x:v>
      </x:c>
      <x:c r="E55" s="12" t="n">
        <x:f>Produits!E55</x:f>
        <x:v>0</x:v>
      </x:c>
      <x:c r="F55" s="12" t="n">
        <x:f>Produits!F55</x:f>
        <x:v>0</x:v>
      </x:c>
      <x:c r="G55" s="12" t="n">
        <x:f>Produits!H55</x:f>
        <x:v>0</x:v>
      </x:c>
      <x:c r="H55" s="12" t="n">
        <x:f>Produits!I55</x:f>
        <x:v>0</x:v>
      </x:c>
      <x:c r="I55" s="12" t="n">
        <x:f>Produits!K55</x:f>
        <x:v>0</x:v>
      </x:c>
      <x:c r="J55" s="12" t="n">
        <x:f>Produits!L55</x:f>
        <x:v>0</x:v>
      </x:c>
      <x:c r="K55" s="12" t="str">
        <x:f>Produits!U55</x:f>
      </x:c>
      <x:c r="L55" s="12" t="n">
        <x:f>Produits!V55</x:f>
        <x:v>0</x:v>
      </x:c>
      <x:c r="M55" s="12" t="n">
        <x:f>Produits!Z55</x:f>
        <x:v>0</x:v>
      </x:c>
      <x:c r="N55" s="12" t="n">
        <x:f>Produits!AA55</x:f>
        <x:v>0</x:v>
      </x:c>
      <x:c r="O55" s="12" t="n">
        <x:f>Produits!AB55</x:f>
        <x:v>0</x:v>
      </x:c>
      <x:c r="P55" s="12" t="n">
        <x:f>Produits!AC55</x:f>
        <x:v>0</x:v>
      </x:c>
      <x:c r="Q55" s="12" t="n">
        <x:f>Produits!AG55</x:f>
        <x:v>0</x:v>
      </x:c>
    </x:row>
    <x:row r="56">
      <x:c r="A56" s="12" t="n">
        <x:f>Produits!A56</x:f>
        <x:v>0</x:v>
      </x:c>
      <x:c r="B56" s="12" t="n">
        <x:f>Produits!B56</x:f>
        <x:v>0</x:v>
      </x:c>
      <x:c r="C56" s="12" t="n">
        <x:f>Produits!C56</x:f>
        <x:v>0</x:v>
      </x:c>
      <x:c r="D56" s="12" t="n">
        <x:f>Produits!D56</x:f>
        <x:v>0</x:v>
      </x:c>
      <x:c r="E56" s="12" t="n">
        <x:f>Produits!E56</x:f>
        <x:v>0</x:v>
      </x:c>
      <x:c r="F56" s="12" t="n">
        <x:f>Produits!F56</x:f>
        <x:v>0</x:v>
      </x:c>
      <x:c r="G56" s="12" t="n">
        <x:f>Produits!H56</x:f>
        <x:v>0</x:v>
      </x:c>
      <x:c r="H56" s="12" t="n">
        <x:f>Produits!I56</x:f>
        <x:v>0</x:v>
      </x:c>
      <x:c r="I56" s="12" t="n">
        <x:f>Produits!K56</x:f>
        <x:v>0</x:v>
      </x:c>
      <x:c r="J56" s="12" t="n">
        <x:f>Produits!L56</x:f>
        <x:v>0</x:v>
      </x:c>
      <x:c r="K56" s="12" t="str">
        <x:f>Produits!U56</x:f>
      </x:c>
      <x:c r="L56" s="12" t="n">
        <x:f>Produits!V56</x:f>
        <x:v>0</x:v>
      </x:c>
      <x:c r="M56" s="12" t="n">
        <x:f>Produits!Z56</x:f>
        <x:v>0</x:v>
      </x:c>
      <x:c r="N56" s="12" t="n">
        <x:f>Produits!AA56</x:f>
        <x:v>0</x:v>
      </x:c>
      <x:c r="O56" s="12" t="n">
        <x:f>Produits!AB56</x:f>
        <x:v>0</x:v>
      </x:c>
      <x:c r="P56" s="12" t="n">
        <x:f>Produits!AC56</x:f>
        <x:v>0</x:v>
      </x:c>
      <x:c r="Q56" s="12" t="n">
        <x:f>Produits!AG56</x:f>
        <x:v>0</x:v>
      </x:c>
    </x:row>
    <x:row r="57">
      <x:c r="A57" s="12" t="n">
        <x:f>Produits!A57</x:f>
        <x:v>0</x:v>
      </x:c>
      <x:c r="B57" s="12" t="n">
        <x:f>Produits!B57</x:f>
        <x:v>0</x:v>
      </x:c>
      <x:c r="C57" s="12" t="n">
        <x:f>Produits!C57</x:f>
        <x:v>0</x:v>
      </x:c>
      <x:c r="D57" s="12" t="n">
        <x:f>Produits!D57</x:f>
        <x:v>0</x:v>
      </x:c>
      <x:c r="E57" s="12" t="n">
        <x:f>Produits!E57</x:f>
        <x:v>0</x:v>
      </x:c>
      <x:c r="F57" s="12" t="n">
        <x:f>Produits!F57</x:f>
        <x:v>0</x:v>
      </x:c>
      <x:c r="G57" s="12" t="n">
        <x:f>Produits!H57</x:f>
        <x:v>0</x:v>
      </x:c>
      <x:c r="H57" s="12" t="n">
        <x:f>Produits!I57</x:f>
        <x:v>0</x:v>
      </x:c>
      <x:c r="I57" s="12" t="n">
        <x:f>Produits!K57</x:f>
        <x:v>0</x:v>
      </x:c>
      <x:c r="J57" s="12" t="n">
        <x:f>Produits!L57</x:f>
        <x:v>0</x:v>
      </x:c>
      <x:c r="K57" s="12" t="str">
        <x:f>Produits!U57</x:f>
      </x:c>
      <x:c r="L57" s="12" t="n">
        <x:f>Produits!V57</x:f>
        <x:v>0</x:v>
      </x:c>
      <x:c r="M57" s="12" t="n">
        <x:f>Produits!Z57</x:f>
        <x:v>0</x:v>
      </x:c>
      <x:c r="N57" s="12" t="n">
        <x:f>Produits!AA57</x:f>
        <x:v>0</x:v>
      </x:c>
      <x:c r="O57" s="12" t="n">
        <x:f>Produits!AB57</x:f>
        <x:v>0</x:v>
      </x:c>
      <x:c r="P57" s="12" t="n">
        <x:f>Produits!AC57</x:f>
        <x:v>0</x:v>
      </x:c>
      <x:c r="Q57" s="12" t="n">
        <x:f>Produits!AG57</x:f>
        <x:v>0</x:v>
      </x:c>
    </x:row>
    <x:row r="58">
      <x:c r="A58" s="12" t="n">
        <x:f>Produits!A58</x:f>
        <x:v>0</x:v>
      </x:c>
      <x:c r="B58" s="12" t="n">
        <x:f>Produits!B58</x:f>
        <x:v>0</x:v>
      </x:c>
      <x:c r="C58" s="12" t="n">
        <x:f>Produits!C58</x:f>
        <x:v>0</x:v>
      </x:c>
      <x:c r="D58" s="12" t="n">
        <x:f>Produits!D58</x:f>
        <x:v>0</x:v>
      </x:c>
      <x:c r="E58" s="12" t="n">
        <x:f>Produits!E58</x:f>
        <x:v>0</x:v>
      </x:c>
      <x:c r="F58" s="12" t="n">
        <x:f>Produits!F58</x:f>
        <x:v>0</x:v>
      </x:c>
      <x:c r="G58" s="12" t="n">
        <x:f>Produits!H58</x:f>
        <x:v>0</x:v>
      </x:c>
      <x:c r="H58" s="12" t="n">
        <x:f>Produits!I58</x:f>
        <x:v>0</x:v>
      </x:c>
      <x:c r="I58" s="12" t="n">
        <x:f>Produits!K58</x:f>
        <x:v>0</x:v>
      </x:c>
      <x:c r="J58" s="12" t="n">
        <x:f>Produits!L58</x:f>
        <x:v>0</x:v>
      </x:c>
      <x:c r="K58" s="12" t="str">
        <x:f>Produits!U58</x:f>
      </x:c>
      <x:c r="L58" s="12" t="n">
        <x:f>Produits!V58</x:f>
        <x:v>0</x:v>
      </x:c>
      <x:c r="M58" s="12" t="n">
        <x:f>Produits!Z58</x:f>
        <x:v>0</x:v>
      </x:c>
      <x:c r="N58" s="12" t="n">
        <x:f>Produits!AA58</x:f>
        <x:v>0</x:v>
      </x:c>
      <x:c r="O58" s="12" t="n">
        <x:f>Produits!AB58</x:f>
        <x:v>0</x:v>
      </x:c>
      <x:c r="P58" s="12" t="n">
        <x:f>Produits!AC58</x:f>
        <x:v>0</x:v>
      </x:c>
      <x:c r="Q58" s="12" t="n">
        <x:f>Produits!AG58</x:f>
        <x:v>0</x:v>
      </x:c>
    </x:row>
    <x:row r="59">
      <x:c r="A59" s="12" t="n">
        <x:f>Produits!A59</x:f>
        <x:v>0</x:v>
      </x:c>
      <x:c r="B59" s="12" t="n">
        <x:f>Produits!B59</x:f>
        <x:v>0</x:v>
      </x:c>
      <x:c r="C59" s="12" t="n">
        <x:f>Produits!C59</x:f>
        <x:v>0</x:v>
      </x:c>
      <x:c r="D59" s="12" t="n">
        <x:f>Produits!D59</x:f>
        <x:v>0</x:v>
      </x:c>
      <x:c r="E59" s="12" t="n">
        <x:f>Produits!E59</x:f>
        <x:v>0</x:v>
      </x:c>
      <x:c r="F59" s="12" t="n">
        <x:f>Produits!F59</x:f>
        <x:v>0</x:v>
      </x:c>
      <x:c r="G59" s="12" t="n">
        <x:f>Produits!H59</x:f>
        <x:v>0</x:v>
      </x:c>
      <x:c r="H59" s="12" t="n">
        <x:f>Produits!I59</x:f>
        <x:v>0</x:v>
      </x:c>
      <x:c r="I59" s="12" t="n">
        <x:f>Produits!K59</x:f>
        <x:v>0</x:v>
      </x:c>
      <x:c r="J59" s="12" t="n">
        <x:f>Produits!L59</x:f>
        <x:v>0</x:v>
      </x:c>
      <x:c r="K59" s="12" t="str">
        <x:f>Produits!U59</x:f>
      </x:c>
      <x:c r="L59" s="12" t="n">
        <x:f>Produits!V59</x:f>
        <x:v>0</x:v>
      </x:c>
      <x:c r="M59" s="12" t="n">
        <x:f>Produits!Z59</x:f>
        <x:v>0</x:v>
      </x:c>
      <x:c r="N59" s="12" t="n">
        <x:f>Produits!AA59</x:f>
        <x:v>0</x:v>
      </x:c>
      <x:c r="O59" s="12" t="n">
        <x:f>Produits!AB59</x:f>
        <x:v>0</x:v>
      </x:c>
      <x:c r="P59" s="12" t="n">
        <x:f>Produits!AC59</x:f>
        <x:v>0</x:v>
      </x:c>
      <x:c r="Q59" s="12" t="n">
        <x:f>Produits!AG59</x:f>
        <x:v>0</x:v>
      </x:c>
    </x:row>
    <x:row r="60">
      <x:c r="A60" s="12" t="n">
        <x:f>Produits!A60</x:f>
        <x:v>0</x:v>
      </x:c>
      <x:c r="B60" s="12" t="n">
        <x:f>Produits!B60</x:f>
        <x:v>0</x:v>
      </x:c>
      <x:c r="C60" s="12" t="n">
        <x:f>Produits!C60</x:f>
        <x:v>0</x:v>
      </x:c>
      <x:c r="D60" s="12" t="n">
        <x:f>Produits!D60</x:f>
        <x:v>0</x:v>
      </x:c>
      <x:c r="E60" s="12" t="n">
        <x:f>Produits!E60</x:f>
        <x:v>0</x:v>
      </x:c>
      <x:c r="F60" s="12" t="n">
        <x:f>Produits!F60</x:f>
        <x:v>0</x:v>
      </x:c>
      <x:c r="G60" s="12" t="n">
        <x:f>Produits!H60</x:f>
        <x:v>0</x:v>
      </x:c>
      <x:c r="H60" s="12" t="n">
        <x:f>Produits!I60</x:f>
        <x:v>0</x:v>
      </x:c>
      <x:c r="I60" s="12" t="n">
        <x:f>Produits!K60</x:f>
        <x:v>0</x:v>
      </x:c>
      <x:c r="J60" s="12" t="n">
        <x:f>Produits!L60</x:f>
        <x:v>0</x:v>
      </x:c>
      <x:c r="K60" s="12" t="str">
        <x:f>Produits!U60</x:f>
      </x:c>
      <x:c r="L60" s="12" t="n">
        <x:f>Produits!V60</x:f>
        <x:v>0</x:v>
      </x:c>
      <x:c r="M60" s="12" t="n">
        <x:f>Produits!Z60</x:f>
        <x:v>0</x:v>
      </x:c>
      <x:c r="N60" s="12" t="n">
        <x:f>Produits!AA60</x:f>
        <x:v>0</x:v>
      </x:c>
      <x:c r="O60" s="12" t="n">
        <x:f>Produits!AB60</x:f>
        <x:v>0</x:v>
      </x:c>
      <x:c r="P60" s="12" t="n">
        <x:f>Produits!AC60</x:f>
        <x:v>0</x:v>
      </x:c>
      <x:c r="Q60" s="12" t="n">
        <x:f>Produits!AG60</x:f>
        <x:v>0</x:v>
      </x:c>
    </x:row>
    <x:row r="61">
      <x:c r="A61" s="12" t="n">
        <x:f>Produits!A61</x:f>
        <x:v>0</x:v>
      </x:c>
      <x:c r="B61" s="12" t="n">
        <x:f>Produits!B61</x:f>
        <x:v>0</x:v>
      </x:c>
      <x:c r="C61" s="12" t="n">
        <x:f>Produits!C61</x:f>
        <x:v>0</x:v>
      </x:c>
      <x:c r="D61" s="12" t="n">
        <x:f>Produits!D61</x:f>
        <x:v>0</x:v>
      </x:c>
      <x:c r="E61" s="12" t="n">
        <x:f>Produits!E61</x:f>
        <x:v>0</x:v>
      </x:c>
      <x:c r="F61" s="12" t="n">
        <x:f>Produits!F61</x:f>
        <x:v>0</x:v>
      </x:c>
      <x:c r="G61" s="12" t="n">
        <x:f>Produits!H61</x:f>
        <x:v>0</x:v>
      </x:c>
      <x:c r="H61" s="12" t="n">
        <x:f>Produits!I61</x:f>
        <x:v>0</x:v>
      </x:c>
      <x:c r="I61" s="12" t="n">
        <x:f>Produits!K61</x:f>
        <x:v>0</x:v>
      </x:c>
      <x:c r="J61" s="12" t="n">
        <x:f>Produits!L61</x:f>
        <x:v>0</x:v>
      </x:c>
      <x:c r="K61" s="12" t="str">
        <x:f>Produits!U61</x:f>
      </x:c>
      <x:c r="L61" s="12" t="n">
        <x:f>Produits!V61</x:f>
        <x:v>0</x:v>
      </x:c>
      <x:c r="M61" s="12" t="n">
        <x:f>Produits!Z61</x:f>
        <x:v>0</x:v>
      </x:c>
      <x:c r="N61" s="12" t="n">
        <x:f>Produits!AA61</x:f>
        <x:v>0</x:v>
      </x:c>
      <x:c r="O61" s="12" t="n">
        <x:f>Produits!AB61</x:f>
        <x:v>0</x:v>
      </x:c>
      <x:c r="P61" s="12" t="n">
        <x:f>Produits!AC61</x:f>
        <x:v>0</x:v>
      </x:c>
      <x:c r="Q61" s="12" t="n">
        <x:f>Produits!AG61</x:f>
        <x:v>0</x:v>
      </x:c>
    </x:row>
    <x:row r="62">
      <x:c r="A62" s="12" t="n">
        <x:f>Produits!A62</x:f>
        <x:v>0</x:v>
      </x:c>
      <x:c r="B62" s="12" t="n">
        <x:f>Produits!B62</x:f>
        <x:v>0</x:v>
      </x:c>
      <x:c r="C62" s="12" t="n">
        <x:f>Produits!C62</x:f>
        <x:v>0</x:v>
      </x:c>
      <x:c r="D62" s="12" t="n">
        <x:f>Produits!D62</x:f>
        <x:v>0</x:v>
      </x:c>
      <x:c r="E62" s="12" t="n">
        <x:f>Produits!E62</x:f>
        <x:v>0</x:v>
      </x:c>
      <x:c r="F62" s="12" t="n">
        <x:f>Produits!F62</x:f>
        <x:v>0</x:v>
      </x:c>
      <x:c r="G62" s="12" t="n">
        <x:f>Produits!H62</x:f>
        <x:v>0</x:v>
      </x:c>
      <x:c r="H62" s="12" t="n">
        <x:f>Produits!I62</x:f>
        <x:v>0</x:v>
      </x:c>
      <x:c r="I62" s="12" t="n">
        <x:f>Produits!K62</x:f>
        <x:v>0</x:v>
      </x:c>
      <x:c r="J62" s="12" t="n">
        <x:f>Produits!L62</x:f>
        <x:v>0</x:v>
      </x:c>
      <x:c r="K62" s="12" t="str">
        <x:f>Produits!U62</x:f>
      </x:c>
      <x:c r="L62" s="12" t="n">
        <x:f>Produits!V62</x:f>
        <x:v>0</x:v>
      </x:c>
      <x:c r="M62" s="12" t="n">
        <x:f>Produits!Z62</x:f>
        <x:v>0</x:v>
      </x:c>
      <x:c r="N62" s="12" t="n">
        <x:f>Produits!AA62</x:f>
        <x:v>0</x:v>
      </x:c>
      <x:c r="O62" s="12" t="n">
        <x:f>Produits!AB62</x:f>
        <x:v>0</x:v>
      </x:c>
      <x:c r="P62" s="12" t="n">
        <x:f>Produits!AC62</x:f>
        <x:v>0</x:v>
      </x:c>
      <x:c r="Q62" s="12" t="n">
        <x:f>Produits!AG62</x:f>
        <x:v>0</x:v>
      </x:c>
    </x:row>
    <x:row r="63">
      <x:c r="A63" s="12" t="n">
        <x:f>Produits!A63</x:f>
        <x:v>0</x:v>
      </x:c>
      <x:c r="B63" s="12" t="n">
        <x:f>Produits!B63</x:f>
        <x:v>0</x:v>
      </x:c>
      <x:c r="C63" s="12" t="n">
        <x:f>Produits!C63</x:f>
        <x:v>0</x:v>
      </x:c>
      <x:c r="D63" s="12" t="n">
        <x:f>Produits!D63</x:f>
        <x:v>0</x:v>
      </x:c>
      <x:c r="E63" s="12" t="n">
        <x:f>Produits!E63</x:f>
        <x:v>0</x:v>
      </x:c>
      <x:c r="F63" s="12" t="n">
        <x:f>Produits!F63</x:f>
        <x:v>0</x:v>
      </x:c>
      <x:c r="G63" s="12" t="n">
        <x:f>Produits!H63</x:f>
        <x:v>0</x:v>
      </x:c>
      <x:c r="H63" s="12" t="n">
        <x:f>Produits!I63</x:f>
        <x:v>0</x:v>
      </x:c>
      <x:c r="I63" s="12" t="n">
        <x:f>Produits!K63</x:f>
        <x:v>0</x:v>
      </x:c>
      <x:c r="J63" s="12" t="n">
        <x:f>Produits!L63</x:f>
        <x:v>0</x:v>
      </x:c>
      <x:c r="K63" s="12" t="str">
        <x:f>Produits!U63</x:f>
      </x:c>
      <x:c r="L63" s="12" t="n">
        <x:f>Produits!V63</x:f>
        <x:v>0</x:v>
      </x:c>
      <x:c r="M63" s="12" t="n">
        <x:f>Produits!Z63</x:f>
        <x:v>0</x:v>
      </x:c>
      <x:c r="N63" s="12" t="n">
        <x:f>Produits!AA63</x:f>
        <x:v>0</x:v>
      </x:c>
      <x:c r="O63" s="12" t="n">
        <x:f>Produits!AB63</x:f>
        <x:v>0</x:v>
      </x:c>
      <x:c r="P63" s="12" t="n">
        <x:f>Produits!AC63</x:f>
        <x:v>0</x:v>
      </x:c>
      <x:c r="Q63" s="12" t="n">
        <x:f>Produits!AG63</x:f>
        <x:v>0</x:v>
      </x:c>
    </x:row>
    <x:row r="64">
      <x:c r="A64" s="12" t="n">
        <x:f>Produits!A64</x:f>
        <x:v>0</x:v>
      </x:c>
      <x:c r="B64" s="12" t="n">
        <x:f>Produits!B64</x:f>
        <x:v>0</x:v>
      </x:c>
      <x:c r="C64" s="12" t="n">
        <x:f>Produits!C64</x:f>
        <x:v>0</x:v>
      </x:c>
      <x:c r="D64" s="12" t="n">
        <x:f>Produits!D64</x:f>
        <x:v>0</x:v>
      </x:c>
      <x:c r="E64" s="12" t="n">
        <x:f>Produits!E64</x:f>
        <x:v>0</x:v>
      </x:c>
      <x:c r="F64" s="12" t="n">
        <x:f>Produits!F64</x:f>
        <x:v>0</x:v>
      </x:c>
      <x:c r="G64" s="12" t="n">
        <x:f>Produits!H64</x:f>
        <x:v>0</x:v>
      </x:c>
      <x:c r="H64" s="12" t="n">
        <x:f>Produits!I64</x:f>
        <x:v>0</x:v>
      </x:c>
      <x:c r="I64" s="12" t="n">
        <x:f>Produits!K64</x:f>
        <x:v>0</x:v>
      </x:c>
      <x:c r="J64" s="12" t="n">
        <x:f>Produits!L64</x:f>
        <x:v>0</x:v>
      </x:c>
      <x:c r="K64" s="12" t="str">
        <x:f>Produits!U64</x:f>
      </x:c>
      <x:c r="L64" s="12" t="n">
        <x:f>Produits!V64</x:f>
        <x:v>0</x:v>
      </x:c>
      <x:c r="M64" s="12" t="n">
        <x:f>Produits!Z64</x:f>
        <x:v>0</x:v>
      </x:c>
      <x:c r="N64" s="12" t="n">
        <x:f>Produits!AA64</x:f>
        <x:v>0</x:v>
      </x:c>
      <x:c r="O64" s="12" t="n">
        <x:f>Produits!AB64</x:f>
        <x:v>0</x:v>
      </x:c>
      <x:c r="P64" s="12" t="n">
        <x:f>Produits!AC64</x:f>
        <x:v>0</x:v>
      </x:c>
      <x:c r="Q64" s="12" t="n">
        <x:f>Produits!AG64</x:f>
        <x:v>0</x:v>
      </x:c>
    </x:row>
    <x:row r="65">
      <x:c r="A65" s="12" t="n">
        <x:f>Produits!A65</x:f>
        <x:v>0</x:v>
      </x:c>
      <x:c r="B65" s="12" t="n">
        <x:f>Produits!B65</x:f>
        <x:v>0</x:v>
      </x:c>
      <x:c r="C65" s="12" t="n">
        <x:f>Produits!C65</x:f>
        <x:v>0</x:v>
      </x:c>
      <x:c r="D65" s="12" t="n">
        <x:f>Produits!D65</x:f>
        <x:v>0</x:v>
      </x:c>
      <x:c r="E65" s="12" t="n">
        <x:f>Produits!E65</x:f>
        <x:v>0</x:v>
      </x:c>
      <x:c r="F65" s="12" t="n">
        <x:f>Produits!F65</x:f>
        <x:v>0</x:v>
      </x:c>
      <x:c r="G65" s="12" t="n">
        <x:f>Produits!H65</x:f>
        <x:v>0</x:v>
      </x:c>
      <x:c r="H65" s="12" t="n">
        <x:f>Produits!I65</x:f>
        <x:v>0</x:v>
      </x:c>
      <x:c r="I65" s="12" t="n">
        <x:f>Produits!K65</x:f>
        <x:v>0</x:v>
      </x:c>
      <x:c r="J65" s="12" t="n">
        <x:f>Produits!L65</x:f>
        <x:v>0</x:v>
      </x:c>
      <x:c r="K65" s="12" t="str">
        <x:f>Produits!U65</x:f>
      </x:c>
      <x:c r="L65" s="12" t="n">
        <x:f>Produits!V65</x:f>
        <x:v>0</x:v>
      </x:c>
      <x:c r="M65" s="12" t="n">
        <x:f>Produits!Z65</x:f>
        <x:v>0</x:v>
      </x:c>
      <x:c r="N65" s="12" t="n">
        <x:f>Produits!AA65</x:f>
        <x:v>0</x:v>
      </x:c>
      <x:c r="O65" s="12" t="n">
        <x:f>Produits!AB65</x:f>
        <x:v>0</x:v>
      </x:c>
      <x:c r="P65" s="12" t="n">
        <x:f>Produits!AC65</x:f>
        <x:v>0</x:v>
      </x:c>
      <x:c r="Q65" s="12" t="n">
        <x:f>Produits!AG65</x:f>
        <x:v>0</x:v>
      </x:c>
    </x:row>
    <x:row r="66">
      <x:c r="A66" s="12" t="n">
        <x:f>Produits!A66</x:f>
        <x:v>0</x:v>
      </x:c>
      <x:c r="B66" s="12" t="n">
        <x:f>Produits!B66</x:f>
        <x:v>0</x:v>
      </x:c>
      <x:c r="C66" s="12" t="n">
        <x:f>Produits!C66</x:f>
        <x:v>0</x:v>
      </x:c>
      <x:c r="D66" s="12" t="n">
        <x:f>Produits!D66</x:f>
        <x:v>0</x:v>
      </x:c>
      <x:c r="E66" s="12" t="n">
        <x:f>Produits!E66</x:f>
        <x:v>0</x:v>
      </x:c>
      <x:c r="F66" s="12" t="n">
        <x:f>Produits!F66</x:f>
        <x:v>0</x:v>
      </x:c>
      <x:c r="G66" s="12" t="n">
        <x:f>Produits!H66</x:f>
        <x:v>0</x:v>
      </x:c>
      <x:c r="H66" s="12" t="n">
        <x:f>Produits!I66</x:f>
        <x:v>0</x:v>
      </x:c>
      <x:c r="I66" s="12" t="n">
        <x:f>Produits!K66</x:f>
        <x:v>0</x:v>
      </x:c>
      <x:c r="J66" s="12" t="n">
        <x:f>Produits!L66</x:f>
        <x:v>0</x:v>
      </x:c>
      <x:c r="K66" s="12" t="str">
        <x:f>Produits!U66</x:f>
      </x:c>
      <x:c r="L66" s="12" t="n">
        <x:f>Produits!V66</x:f>
        <x:v>0</x:v>
      </x:c>
      <x:c r="M66" s="12" t="n">
        <x:f>Produits!Z66</x:f>
        <x:v>0</x:v>
      </x:c>
      <x:c r="N66" s="12" t="n">
        <x:f>Produits!AA66</x:f>
        <x:v>0</x:v>
      </x:c>
      <x:c r="O66" s="12" t="n">
        <x:f>Produits!AB66</x:f>
        <x:v>0</x:v>
      </x:c>
      <x:c r="P66" s="12" t="n">
        <x:f>Produits!AC66</x:f>
        <x:v>0</x:v>
      </x:c>
      <x:c r="Q66" s="12" t="n">
        <x:f>Produits!AG66</x:f>
        <x:v>0</x:v>
      </x:c>
    </x:row>
    <x:row r="67">
      <x:c r="A67" s="12" t="n">
        <x:f>Produits!A67</x:f>
        <x:v>0</x:v>
      </x:c>
      <x:c r="B67" s="12" t="n">
        <x:f>Produits!B67</x:f>
        <x:v>0</x:v>
      </x:c>
      <x:c r="C67" s="12" t="n">
        <x:f>Produits!C67</x:f>
        <x:v>0</x:v>
      </x:c>
      <x:c r="D67" s="12" t="n">
        <x:f>Produits!D67</x:f>
        <x:v>0</x:v>
      </x:c>
      <x:c r="E67" s="12" t="n">
        <x:f>Produits!E67</x:f>
        <x:v>0</x:v>
      </x:c>
      <x:c r="F67" s="12" t="n">
        <x:f>Produits!F67</x:f>
        <x:v>0</x:v>
      </x:c>
      <x:c r="G67" s="12" t="n">
        <x:f>Produits!H67</x:f>
        <x:v>0</x:v>
      </x:c>
      <x:c r="H67" s="12" t="n">
        <x:f>Produits!I67</x:f>
        <x:v>0</x:v>
      </x:c>
      <x:c r="I67" s="12" t="n">
        <x:f>Produits!K67</x:f>
        <x:v>0</x:v>
      </x:c>
      <x:c r="J67" s="12" t="n">
        <x:f>Produits!L67</x:f>
        <x:v>0</x:v>
      </x:c>
      <x:c r="K67" s="12" t="str">
        <x:f>Produits!U67</x:f>
      </x:c>
      <x:c r="L67" s="12" t="n">
        <x:f>Produits!V67</x:f>
        <x:v>0</x:v>
      </x:c>
      <x:c r="M67" s="12" t="n">
        <x:f>Produits!Z67</x:f>
        <x:v>0</x:v>
      </x:c>
      <x:c r="N67" s="12" t="n">
        <x:f>Produits!AA67</x:f>
        <x:v>0</x:v>
      </x:c>
      <x:c r="O67" s="12" t="n">
        <x:f>Produits!AB67</x:f>
        <x:v>0</x:v>
      </x:c>
      <x:c r="P67" s="12" t="n">
        <x:f>Produits!AC67</x:f>
        <x:v>0</x:v>
      </x:c>
      <x:c r="Q67" s="12" t="n">
        <x:f>Produits!AG67</x:f>
        <x:v>0</x:v>
      </x:c>
    </x:row>
    <x:row r="68">
      <x:c r="A68" s="12" t="n">
        <x:f>Produits!A68</x:f>
        <x:v>0</x:v>
      </x:c>
      <x:c r="B68" s="12" t="n">
        <x:f>Produits!B68</x:f>
        <x:v>0</x:v>
      </x:c>
      <x:c r="C68" s="12" t="n">
        <x:f>Produits!C68</x:f>
        <x:v>0</x:v>
      </x:c>
      <x:c r="D68" s="12" t="n">
        <x:f>Produits!D68</x:f>
        <x:v>0</x:v>
      </x:c>
      <x:c r="E68" s="12" t="n">
        <x:f>Produits!E68</x:f>
        <x:v>0</x:v>
      </x:c>
      <x:c r="F68" s="12" t="n">
        <x:f>Produits!F68</x:f>
        <x:v>0</x:v>
      </x:c>
      <x:c r="G68" s="12" t="n">
        <x:f>Produits!H68</x:f>
        <x:v>0</x:v>
      </x:c>
      <x:c r="H68" s="12" t="n">
        <x:f>Produits!I68</x:f>
        <x:v>0</x:v>
      </x:c>
      <x:c r="I68" s="12" t="n">
        <x:f>Produits!K68</x:f>
        <x:v>0</x:v>
      </x:c>
      <x:c r="J68" s="12" t="n">
        <x:f>Produits!L68</x:f>
        <x:v>0</x:v>
      </x:c>
      <x:c r="K68" s="12" t="str">
        <x:f>Produits!U68</x:f>
      </x:c>
      <x:c r="L68" s="12" t="n">
        <x:f>Produits!V68</x:f>
        <x:v>0</x:v>
      </x:c>
      <x:c r="M68" s="12" t="n">
        <x:f>Produits!Z68</x:f>
        <x:v>0</x:v>
      </x:c>
      <x:c r="N68" s="12" t="n">
        <x:f>Produits!AA68</x:f>
        <x:v>0</x:v>
      </x:c>
      <x:c r="O68" s="12" t="n">
        <x:f>Produits!AB68</x:f>
        <x:v>0</x:v>
      </x:c>
      <x:c r="P68" s="12" t="n">
        <x:f>Produits!AC68</x:f>
        <x:v>0</x:v>
      </x:c>
      <x:c r="Q68" s="12" t="n">
        <x:f>Produits!AG68</x:f>
        <x:v>0</x:v>
      </x:c>
    </x:row>
    <x:row r="69">
      <x:c r="A69" s="12" t="n">
        <x:f>Produits!A69</x:f>
        <x:v>0</x:v>
      </x:c>
      <x:c r="B69" s="12" t="n">
        <x:f>Produits!B69</x:f>
        <x:v>0</x:v>
      </x:c>
      <x:c r="C69" s="12" t="n">
        <x:f>Produits!C69</x:f>
        <x:v>0</x:v>
      </x:c>
      <x:c r="D69" s="12" t="n">
        <x:f>Produits!D69</x:f>
        <x:v>0</x:v>
      </x:c>
      <x:c r="E69" s="12" t="n">
        <x:f>Produits!E69</x:f>
        <x:v>0</x:v>
      </x:c>
      <x:c r="F69" s="12" t="n">
        <x:f>Produits!F69</x:f>
        <x:v>0</x:v>
      </x:c>
      <x:c r="G69" s="12" t="n">
        <x:f>Produits!H69</x:f>
        <x:v>0</x:v>
      </x:c>
      <x:c r="H69" s="12" t="n">
        <x:f>Produits!I69</x:f>
        <x:v>0</x:v>
      </x:c>
      <x:c r="I69" s="12" t="n">
        <x:f>Produits!K69</x:f>
        <x:v>0</x:v>
      </x:c>
      <x:c r="J69" s="12" t="n">
        <x:f>Produits!L69</x:f>
        <x:v>0</x:v>
      </x:c>
      <x:c r="K69" s="12" t="str">
        <x:f>Produits!U69</x:f>
      </x:c>
      <x:c r="L69" s="12" t="n">
        <x:f>Produits!V69</x:f>
        <x:v>0</x:v>
      </x:c>
      <x:c r="M69" s="12" t="n">
        <x:f>Produits!Z69</x:f>
        <x:v>0</x:v>
      </x:c>
      <x:c r="N69" s="12" t="n">
        <x:f>Produits!AA69</x:f>
        <x:v>0</x:v>
      </x:c>
      <x:c r="O69" s="12" t="n">
        <x:f>Produits!AB69</x:f>
        <x:v>0</x:v>
      </x:c>
      <x:c r="P69" s="12" t="n">
        <x:f>Produits!AC69</x:f>
        <x:v>0</x:v>
      </x:c>
      <x:c r="Q69" s="12" t="n">
        <x:f>Produits!AG69</x:f>
        <x:v>0</x:v>
      </x:c>
    </x:row>
    <x:row r="70">
      <x:c r="A70" s="12" t="n">
        <x:f>Produits!A70</x:f>
        <x:v>0</x:v>
      </x:c>
      <x:c r="B70" s="12" t="n">
        <x:f>Produits!B70</x:f>
        <x:v>0</x:v>
      </x:c>
      <x:c r="C70" s="12" t="n">
        <x:f>Produits!C70</x:f>
        <x:v>0</x:v>
      </x:c>
      <x:c r="D70" s="12" t="n">
        <x:f>Produits!D70</x:f>
        <x:v>0</x:v>
      </x:c>
      <x:c r="E70" s="12" t="n">
        <x:f>Produits!E70</x:f>
        <x:v>0</x:v>
      </x:c>
      <x:c r="F70" s="12" t="n">
        <x:f>Produits!F70</x:f>
        <x:v>0</x:v>
      </x:c>
      <x:c r="G70" s="12" t="n">
        <x:f>Produits!H70</x:f>
        <x:v>0</x:v>
      </x:c>
      <x:c r="H70" s="12" t="n">
        <x:f>Produits!I70</x:f>
        <x:v>0</x:v>
      </x:c>
      <x:c r="I70" s="12" t="n">
        <x:f>Produits!K70</x:f>
        <x:v>0</x:v>
      </x:c>
      <x:c r="J70" s="12" t="n">
        <x:f>Produits!L70</x:f>
        <x:v>0</x:v>
      </x:c>
      <x:c r="K70" s="12" t="str">
        <x:f>Produits!U70</x:f>
      </x:c>
      <x:c r="L70" s="12" t="n">
        <x:f>Produits!V70</x:f>
        <x:v>0</x:v>
      </x:c>
      <x:c r="M70" s="12" t="n">
        <x:f>Produits!Z70</x:f>
        <x:v>0</x:v>
      </x:c>
      <x:c r="N70" s="12" t="n">
        <x:f>Produits!AA70</x:f>
        <x:v>0</x:v>
      </x:c>
      <x:c r="O70" s="12" t="n">
        <x:f>Produits!AB70</x:f>
        <x:v>0</x:v>
      </x:c>
      <x:c r="P70" s="12" t="n">
        <x:f>Produits!AC70</x:f>
        <x:v>0</x:v>
      </x:c>
      <x:c r="Q70" s="12" t="n">
        <x:f>Produits!AG70</x:f>
        <x:v>0</x:v>
      </x:c>
    </x:row>
    <x:row r="71">
      <x:c r="A71" s="12" t="n">
        <x:f>Produits!A71</x:f>
        <x:v>0</x:v>
      </x:c>
      <x:c r="B71" s="12" t="n">
        <x:f>Produits!B71</x:f>
        <x:v>0</x:v>
      </x:c>
      <x:c r="C71" s="12" t="n">
        <x:f>Produits!C71</x:f>
        <x:v>0</x:v>
      </x:c>
      <x:c r="D71" s="12" t="n">
        <x:f>Produits!D71</x:f>
        <x:v>0</x:v>
      </x:c>
      <x:c r="E71" s="12" t="n">
        <x:f>Produits!E71</x:f>
        <x:v>0</x:v>
      </x:c>
      <x:c r="F71" s="12" t="n">
        <x:f>Produits!F71</x:f>
        <x:v>0</x:v>
      </x:c>
      <x:c r="G71" s="12" t="n">
        <x:f>Produits!H71</x:f>
        <x:v>0</x:v>
      </x:c>
      <x:c r="H71" s="12" t="n">
        <x:f>Produits!I71</x:f>
        <x:v>0</x:v>
      </x:c>
      <x:c r="I71" s="12" t="n">
        <x:f>Produits!K71</x:f>
        <x:v>0</x:v>
      </x:c>
      <x:c r="J71" s="12" t="n">
        <x:f>Produits!L71</x:f>
        <x:v>0</x:v>
      </x:c>
      <x:c r="K71" s="12" t="str">
        <x:f>Produits!U71</x:f>
      </x:c>
      <x:c r="L71" s="12" t="n">
        <x:f>Produits!V71</x:f>
        <x:v>0</x:v>
      </x:c>
      <x:c r="M71" s="12" t="n">
        <x:f>Produits!Z71</x:f>
        <x:v>0</x:v>
      </x:c>
      <x:c r="N71" s="12" t="n">
        <x:f>Produits!AA71</x:f>
        <x:v>0</x:v>
      </x:c>
      <x:c r="O71" s="12" t="n">
        <x:f>Produits!AB71</x:f>
        <x:v>0</x:v>
      </x:c>
      <x:c r="P71" s="12" t="n">
        <x:f>Produits!AC71</x:f>
        <x:v>0</x:v>
      </x:c>
      <x:c r="Q71" s="12" t="n">
        <x:f>Produits!AG71</x:f>
        <x:v>0</x:v>
      </x:c>
    </x:row>
    <x:row r="72">
      <x:c r="A72" s="12" t="n">
        <x:f>Produits!A72</x:f>
        <x:v>0</x:v>
      </x:c>
      <x:c r="B72" s="12" t="n">
        <x:f>Produits!B72</x:f>
        <x:v>0</x:v>
      </x:c>
      <x:c r="C72" s="12" t="n">
        <x:f>Produits!C72</x:f>
        <x:v>0</x:v>
      </x:c>
      <x:c r="D72" s="12" t="n">
        <x:f>Produits!D72</x:f>
        <x:v>0</x:v>
      </x:c>
      <x:c r="E72" s="12" t="n">
        <x:f>Produits!E72</x:f>
        <x:v>0</x:v>
      </x:c>
      <x:c r="F72" s="12" t="n">
        <x:f>Produits!F72</x:f>
        <x:v>0</x:v>
      </x:c>
      <x:c r="G72" s="12" t="n">
        <x:f>Produits!H72</x:f>
        <x:v>0</x:v>
      </x:c>
      <x:c r="H72" s="12" t="n">
        <x:f>Produits!I72</x:f>
        <x:v>0</x:v>
      </x:c>
      <x:c r="I72" s="12" t="n">
        <x:f>Produits!K72</x:f>
        <x:v>0</x:v>
      </x:c>
      <x:c r="J72" s="12" t="n">
        <x:f>Produits!L72</x:f>
        <x:v>0</x:v>
      </x:c>
      <x:c r="K72" s="12" t="str">
        <x:f>Produits!U72</x:f>
      </x:c>
      <x:c r="L72" s="12" t="n">
        <x:f>Produits!V72</x:f>
        <x:v>0</x:v>
      </x:c>
      <x:c r="M72" s="12" t="n">
        <x:f>Produits!Z72</x:f>
        <x:v>0</x:v>
      </x:c>
      <x:c r="N72" s="12" t="n">
        <x:f>Produits!AA72</x:f>
        <x:v>0</x:v>
      </x:c>
      <x:c r="O72" s="12" t="n">
        <x:f>Produits!AB72</x:f>
        <x:v>0</x:v>
      </x:c>
      <x:c r="P72" s="12" t="n">
        <x:f>Produits!AC72</x:f>
        <x:v>0</x:v>
      </x:c>
      <x:c r="Q72" s="12" t="n">
        <x:f>Produits!AG72</x:f>
        <x:v>0</x:v>
      </x:c>
    </x:row>
    <x:row r="73">
      <x:c r="A73" s="12" t="n">
        <x:f>Produits!A73</x:f>
        <x:v>0</x:v>
      </x:c>
      <x:c r="B73" s="12" t="n">
        <x:f>Produits!B73</x:f>
        <x:v>0</x:v>
      </x:c>
      <x:c r="C73" s="12" t="n">
        <x:f>Produits!C73</x:f>
        <x:v>0</x:v>
      </x:c>
      <x:c r="D73" s="12" t="n">
        <x:f>Produits!D73</x:f>
        <x:v>0</x:v>
      </x:c>
      <x:c r="E73" s="12" t="n">
        <x:f>Produits!E73</x:f>
        <x:v>0</x:v>
      </x:c>
      <x:c r="F73" s="12" t="n">
        <x:f>Produits!F73</x:f>
        <x:v>0</x:v>
      </x:c>
      <x:c r="G73" s="12" t="n">
        <x:f>Produits!H73</x:f>
        <x:v>0</x:v>
      </x:c>
      <x:c r="H73" s="12" t="n">
        <x:f>Produits!I73</x:f>
        <x:v>0</x:v>
      </x:c>
      <x:c r="I73" s="12" t="n">
        <x:f>Produits!K73</x:f>
        <x:v>0</x:v>
      </x:c>
      <x:c r="J73" s="12" t="n">
        <x:f>Produits!L73</x:f>
        <x:v>0</x:v>
      </x:c>
      <x:c r="K73" s="12" t="str">
        <x:f>Produits!U73</x:f>
      </x:c>
      <x:c r="L73" s="12" t="n">
        <x:f>Produits!V73</x:f>
        <x:v>0</x:v>
      </x:c>
      <x:c r="M73" s="12" t="n">
        <x:f>Produits!Z73</x:f>
        <x:v>0</x:v>
      </x:c>
      <x:c r="N73" s="12" t="n">
        <x:f>Produits!AA73</x:f>
        <x:v>0</x:v>
      </x:c>
      <x:c r="O73" s="12" t="n">
        <x:f>Produits!AB73</x:f>
        <x:v>0</x:v>
      </x:c>
      <x:c r="P73" s="12" t="n">
        <x:f>Produits!AC73</x:f>
        <x:v>0</x:v>
      </x:c>
      <x:c r="Q73" s="12" t="n">
        <x:f>Produits!AG73</x:f>
        <x:v>0</x:v>
      </x:c>
    </x:row>
    <x:row r="74">
      <x:c r="A74" s="12" t="n">
        <x:f>Produits!A74</x:f>
        <x:v>0</x:v>
      </x:c>
      <x:c r="B74" s="12" t="n">
        <x:f>Produits!B74</x:f>
        <x:v>0</x:v>
      </x:c>
      <x:c r="C74" s="12" t="n">
        <x:f>Produits!C74</x:f>
        <x:v>0</x:v>
      </x:c>
      <x:c r="D74" s="12" t="n">
        <x:f>Produits!D74</x:f>
        <x:v>0</x:v>
      </x:c>
      <x:c r="E74" s="12" t="n">
        <x:f>Produits!E74</x:f>
        <x:v>0</x:v>
      </x:c>
      <x:c r="F74" s="12" t="n">
        <x:f>Produits!F74</x:f>
        <x:v>0</x:v>
      </x:c>
      <x:c r="G74" s="12" t="n">
        <x:f>Produits!H74</x:f>
        <x:v>0</x:v>
      </x:c>
      <x:c r="H74" s="12" t="n">
        <x:f>Produits!I74</x:f>
        <x:v>0</x:v>
      </x:c>
      <x:c r="I74" s="12" t="n">
        <x:f>Produits!K74</x:f>
        <x:v>0</x:v>
      </x:c>
      <x:c r="J74" s="12" t="n">
        <x:f>Produits!L74</x:f>
        <x:v>0</x:v>
      </x:c>
      <x:c r="K74" s="12" t="str">
        <x:f>Produits!U74</x:f>
      </x:c>
      <x:c r="L74" s="12" t="n">
        <x:f>Produits!V74</x:f>
        <x:v>0</x:v>
      </x:c>
      <x:c r="M74" s="12" t="n">
        <x:f>Produits!Z74</x:f>
        <x:v>0</x:v>
      </x:c>
      <x:c r="N74" s="12" t="n">
        <x:f>Produits!AA74</x:f>
        <x:v>0</x:v>
      </x:c>
      <x:c r="O74" s="12" t="n">
        <x:f>Produits!AB74</x:f>
        <x:v>0</x:v>
      </x:c>
      <x:c r="P74" s="12" t="n">
        <x:f>Produits!AC74</x:f>
        <x:v>0</x:v>
      </x:c>
      <x:c r="Q74" s="12" t="n">
        <x:f>Produits!AG74</x:f>
        <x:v>0</x:v>
      </x:c>
    </x:row>
    <x:row r="75">
      <x:c r="A75" s="12" t="n">
        <x:f>Produits!A75</x:f>
        <x:v>0</x:v>
      </x:c>
      <x:c r="B75" s="12" t="n">
        <x:f>Produits!B75</x:f>
        <x:v>0</x:v>
      </x:c>
      <x:c r="C75" s="12" t="n">
        <x:f>Produits!C75</x:f>
        <x:v>0</x:v>
      </x:c>
      <x:c r="D75" s="12" t="n">
        <x:f>Produits!D75</x:f>
        <x:v>0</x:v>
      </x:c>
      <x:c r="E75" s="12" t="n">
        <x:f>Produits!E75</x:f>
        <x:v>0</x:v>
      </x:c>
      <x:c r="F75" s="12" t="n">
        <x:f>Produits!F75</x:f>
        <x:v>0</x:v>
      </x:c>
      <x:c r="G75" s="12" t="n">
        <x:f>Produits!H75</x:f>
        <x:v>0</x:v>
      </x:c>
      <x:c r="H75" s="12" t="n">
        <x:f>Produits!I75</x:f>
        <x:v>0</x:v>
      </x:c>
      <x:c r="I75" s="12" t="n">
        <x:f>Produits!K75</x:f>
        <x:v>0</x:v>
      </x:c>
      <x:c r="J75" s="12" t="n">
        <x:f>Produits!L75</x:f>
        <x:v>0</x:v>
      </x:c>
      <x:c r="K75" s="12" t="str">
        <x:f>Produits!U75</x:f>
      </x:c>
      <x:c r="L75" s="12" t="n">
        <x:f>Produits!V75</x:f>
        <x:v>0</x:v>
      </x:c>
      <x:c r="M75" s="12" t="n">
        <x:f>Produits!Z75</x:f>
        <x:v>0</x:v>
      </x:c>
      <x:c r="N75" s="12" t="n">
        <x:f>Produits!AA75</x:f>
        <x:v>0</x:v>
      </x:c>
      <x:c r="O75" s="12" t="n">
        <x:f>Produits!AB75</x:f>
        <x:v>0</x:v>
      </x:c>
      <x:c r="P75" s="12" t="n">
        <x:f>Produits!AC75</x:f>
        <x:v>0</x:v>
      </x:c>
      <x:c r="Q75" s="12" t="n">
        <x:f>Produits!AG75</x:f>
        <x:v>0</x:v>
      </x:c>
    </x:row>
    <x:row r="76">
      <x:c r="A76" s="12" t="n">
        <x:f>Produits!A76</x:f>
        <x:v>0</x:v>
      </x:c>
      <x:c r="B76" s="12" t="n">
        <x:f>Produits!B76</x:f>
        <x:v>0</x:v>
      </x:c>
      <x:c r="C76" s="12" t="n">
        <x:f>Produits!C76</x:f>
        <x:v>0</x:v>
      </x:c>
      <x:c r="D76" s="12" t="n">
        <x:f>Produits!D76</x:f>
        <x:v>0</x:v>
      </x:c>
      <x:c r="E76" s="12" t="n">
        <x:f>Produits!E76</x:f>
        <x:v>0</x:v>
      </x:c>
      <x:c r="F76" s="12" t="n">
        <x:f>Produits!F76</x:f>
        <x:v>0</x:v>
      </x:c>
      <x:c r="G76" s="12" t="n">
        <x:f>Produits!H76</x:f>
        <x:v>0</x:v>
      </x:c>
      <x:c r="H76" s="12" t="n">
        <x:f>Produits!I76</x:f>
        <x:v>0</x:v>
      </x:c>
      <x:c r="I76" s="12" t="n">
        <x:f>Produits!K76</x:f>
        <x:v>0</x:v>
      </x:c>
      <x:c r="J76" s="12" t="n">
        <x:f>Produits!L76</x:f>
        <x:v>0</x:v>
      </x:c>
      <x:c r="K76" s="12" t="str">
        <x:f>Produits!U76</x:f>
      </x:c>
      <x:c r="L76" s="12" t="n">
        <x:f>Produits!V76</x:f>
        <x:v>0</x:v>
      </x:c>
      <x:c r="M76" s="12" t="n">
        <x:f>Produits!Z76</x:f>
        <x:v>0</x:v>
      </x:c>
      <x:c r="N76" s="12" t="n">
        <x:f>Produits!AA76</x:f>
        <x:v>0</x:v>
      </x:c>
      <x:c r="O76" s="12" t="n">
        <x:f>Produits!AB76</x:f>
        <x:v>0</x:v>
      </x:c>
      <x:c r="P76" s="12" t="n">
        <x:f>Produits!AC76</x:f>
        <x:v>0</x:v>
      </x:c>
      <x:c r="Q76" s="12" t="n">
        <x:f>Produits!AG76</x:f>
        <x:v>0</x:v>
      </x:c>
    </x:row>
    <x:row r="77">
      <x:c r="A77" s="12" t="n">
        <x:f>Produits!A77</x:f>
        <x:v>0</x:v>
      </x:c>
      <x:c r="B77" s="12" t="n">
        <x:f>Produits!B77</x:f>
        <x:v>0</x:v>
      </x:c>
      <x:c r="C77" s="12" t="n">
        <x:f>Produits!C77</x:f>
        <x:v>0</x:v>
      </x:c>
      <x:c r="D77" s="12" t="n">
        <x:f>Produits!D77</x:f>
        <x:v>0</x:v>
      </x:c>
      <x:c r="E77" s="12" t="n">
        <x:f>Produits!E77</x:f>
        <x:v>0</x:v>
      </x:c>
      <x:c r="F77" s="12" t="n">
        <x:f>Produits!F77</x:f>
        <x:v>0</x:v>
      </x:c>
      <x:c r="G77" s="12" t="n">
        <x:f>Produits!H77</x:f>
        <x:v>0</x:v>
      </x:c>
      <x:c r="H77" s="12" t="n">
        <x:f>Produits!I77</x:f>
        <x:v>0</x:v>
      </x:c>
      <x:c r="I77" s="12" t="n">
        <x:f>Produits!K77</x:f>
        <x:v>0</x:v>
      </x:c>
      <x:c r="J77" s="12" t="n">
        <x:f>Produits!L77</x:f>
        <x:v>0</x:v>
      </x:c>
      <x:c r="K77" s="12" t="str">
        <x:f>Produits!U77</x:f>
      </x:c>
      <x:c r="L77" s="12" t="n">
        <x:f>Produits!V77</x:f>
        <x:v>0</x:v>
      </x:c>
      <x:c r="M77" s="12" t="n">
        <x:f>Produits!Z77</x:f>
        <x:v>0</x:v>
      </x:c>
      <x:c r="N77" s="12" t="n">
        <x:f>Produits!AA77</x:f>
        <x:v>0</x:v>
      </x:c>
      <x:c r="O77" s="12" t="n">
        <x:f>Produits!AB77</x:f>
        <x:v>0</x:v>
      </x:c>
      <x:c r="P77" s="12" t="n">
        <x:f>Produits!AC77</x:f>
        <x:v>0</x:v>
      </x:c>
      <x:c r="Q77" s="12" t="n">
        <x:f>Produits!AG77</x:f>
        <x:v>0</x:v>
      </x:c>
    </x:row>
    <x:row r="78">
      <x:c r="A78" s="12" t="n">
        <x:f>Produits!A78</x:f>
        <x:v>0</x:v>
      </x:c>
      <x:c r="B78" s="12" t="n">
        <x:f>Produits!B78</x:f>
        <x:v>0</x:v>
      </x:c>
      <x:c r="C78" s="12" t="n">
        <x:f>Produits!C78</x:f>
        <x:v>0</x:v>
      </x:c>
      <x:c r="D78" s="12" t="n">
        <x:f>Produits!D78</x:f>
        <x:v>0</x:v>
      </x:c>
      <x:c r="E78" s="12" t="n">
        <x:f>Produits!E78</x:f>
        <x:v>0</x:v>
      </x:c>
      <x:c r="F78" s="12" t="n">
        <x:f>Produits!F78</x:f>
        <x:v>0</x:v>
      </x:c>
      <x:c r="G78" s="12" t="n">
        <x:f>Produits!H78</x:f>
        <x:v>0</x:v>
      </x:c>
      <x:c r="H78" s="12" t="n">
        <x:f>Produits!I78</x:f>
        <x:v>0</x:v>
      </x:c>
      <x:c r="I78" s="12" t="n">
        <x:f>Produits!K78</x:f>
        <x:v>0</x:v>
      </x:c>
      <x:c r="J78" s="12" t="n">
        <x:f>Produits!L78</x:f>
        <x:v>0</x:v>
      </x:c>
      <x:c r="K78" s="12" t="str">
        <x:f>Produits!U78</x:f>
      </x:c>
      <x:c r="L78" s="12" t="n">
        <x:f>Produits!V78</x:f>
        <x:v>0</x:v>
      </x:c>
      <x:c r="M78" s="12" t="n">
        <x:f>Produits!Z78</x:f>
        <x:v>0</x:v>
      </x:c>
      <x:c r="N78" s="12" t="n">
        <x:f>Produits!AA78</x:f>
        <x:v>0</x:v>
      </x:c>
      <x:c r="O78" s="12" t="n">
        <x:f>Produits!AB78</x:f>
        <x:v>0</x:v>
      </x:c>
      <x:c r="P78" s="12" t="n">
        <x:f>Produits!AC78</x:f>
        <x:v>0</x:v>
      </x:c>
      <x:c r="Q78" s="12" t="n">
        <x:f>Produits!AG78</x:f>
        <x:v>0</x:v>
      </x:c>
    </x:row>
    <x:row r="79">
      <x:c r="A79" s="12" t="n">
        <x:f>Produits!A79</x:f>
        <x:v>0</x:v>
      </x:c>
      <x:c r="B79" s="12" t="n">
        <x:f>Produits!B79</x:f>
        <x:v>0</x:v>
      </x:c>
      <x:c r="C79" s="12" t="n">
        <x:f>Produits!C79</x:f>
        <x:v>0</x:v>
      </x:c>
      <x:c r="D79" s="12" t="n">
        <x:f>Produits!D79</x:f>
        <x:v>0</x:v>
      </x:c>
      <x:c r="E79" s="12" t="n">
        <x:f>Produits!E79</x:f>
        <x:v>0</x:v>
      </x:c>
      <x:c r="F79" s="12" t="n">
        <x:f>Produits!F79</x:f>
        <x:v>0</x:v>
      </x:c>
      <x:c r="G79" s="12" t="n">
        <x:f>Produits!H79</x:f>
        <x:v>0</x:v>
      </x:c>
      <x:c r="H79" s="12" t="n">
        <x:f>Produits!I79</x:f>
        <x:v>0</x:v>
      </x:c>
      <x:c r="I79" s="12" t="n">
        <x:f>Produits!K79</x:f>
        <x:v>0</x:v>
      </x:c>
      <x:c r="J79" s="12" t="n">
        <x:f>Produits!L79</x:f>
        <x:v>0</x:v>
      </x:c>
      <x:c r="K79" s="12" t="str">
        <x:f>Produits!U79</x:f>
      </x:c>
      <x:c r="L79" s="12" t="n">
        <x:f>Produits!V79</x:f>
        <x:v>0</x:v>
      </x:c>
      <x:c r="M79" s="12" t="n">
        <x:f>Produits!Z79</x:f>
        <x:v>0</x:v>
      </x:c>
      <x:c r="N79" s="12" t="n">
        <x:f>Produits!AA79</x:f>
        <x:v>0</x:v>
      </x:c>
      <x:c r="O79" s="12" t="n">
        <x:f>Produits!AB79</x:f>
        <x:v>0</x:v>
      </x:c>
      <x:c r="P79" s="12" t="n">
        <x:f>Produits!AC79</x:f>
        <x:v>0</x:v>
      </x:c>
      <x:c r="Q79" s="12" t="n">
        <x:f>Produits!AG79</x:f>
        <x:v>0</x:v>
      </x:c>
    </x:row>
    <x:row r="80">
      <x:c r="A80" s="12" t="n">
        <x:f>Produits!A80</x:f>
        <x:v>0</x:v>
      </x:c>
      <x:c r="B80" s="12" t="n">
        <x:f>Produits!B80</x:f>
        <x:v>0</x:v>
      </x:c>
      <x:c r="C80" s="12" t="n">
        <x:f>Produits!C80</x:f>
        <x:v>0</x:v>
      </x:c>
      <x:c r="D80" s="12" t="n">
        <x:f>Produits!D80</x:f>
        <x:v>0</x:v>
      </x:c>
      <x:c r="E80" s="12" t="n">
        <x:f>Produits!E80</x:f>
        <x:v>0</x:v>
      </x:c>
      <x:c r="F80" s="12" t="n">
        <x:f>Produits!F80</x:f>
        <x:v>0</x:v>
      </x:c>
      <x:c r="G80" s="12" t="n">
        <x:f>Produits!H80</x:f>
        <x:v>0</x:v>
      </x:c>
      <x:c r="H80" s="12" t="n">
        <x:f>Produits!I80</x:f>
        <x:v>0</x:v>
      </x:c>
      <x:c r="I80" s="12" t="n">
        <x:f>Produits!K80</x:f>
        <x:v>0</x:v>
      </x:c>
      <x:c r="J80" s="12" t="n">
        <x:f>Produits!L80</x:f>
        <x:v>0</x:v>
      </x:c>
      <x:c r="K80" s="12" t="str">
        <x:f>Produits!U80</x:f>
      </x:c>
      <x:c r="L80" s="12" t="n">
        <x:f>Produits!V80</x:f>
        <x:v>0</x:v>
      </x:c>
      <x:c r="M80" s="12" t="n">
        <x:f>Produits!Z80</x:f>
        <x:v>0</x:v>
      </x:c>
      <x:c r="N80" s="12" t="n">
        <x:f>Produits!AA80</x:f>
        <x:v>0</x:v>
      </x:c>
      <x:c r="O80" s="12" t="n">
        <x:f>Produits!AB80</x:f>
        <x:v>0</x:v>
      </x:c>
      <x:c r="P80" s="12" t="n">
        <x:f>Produits!AC80</x:f>
        <x:v>0</x:v>
      </x:c>
      <x:c r="Q80" s="12" t="n">
        <x:f>Produits!AG80</x:f>
        <x:v>0</x:v>
      </x:c>
    </x:row>
    <x:row r="81">
      <x:c r="A81" s="12" t="n">
        <x:f>Produits!A81</x:f>
        <x:v>0</x:v>
      </x:c>
      <x:c r="B81" s="12" t="n">
        <x:f>Produits!B81</x:f>
        <x:v>0</x:v>
      </x:c>
      <x:c r="C81" s="12" t="n">
        <x:f>Produits!C81</x:f>
        <x:v>0</x:v>
      </x:c>
      <x:c r="D81" s="12" t="n">
        <x:f>Produits!D81</x:f>
        <x:v>0</x:v>
      </x:c>
      <x:c r="E81" s="12" t="n">
        <x:f>Produits!E81</x:f>
        <x:v>0</x:v>
      </x:c>
      <x:c r="F81" s="12" t="n">
        <x:f>Produits!F81</x:f>
        <x:v>0</x:v>
      </x:c>
      <x:c r="G81" s="12" t="n">
        <x:f>Produits!H81</x:f>
        <x:v>0</x:v>
      </x:c>
      <x:c r="H81" s="12" t="n">
        <x:f>Produits!I81</x:f>
        <x:v>0</x:v>
      </x:c>
      <x:c r="I81" s="12" t="n">
        <x:f>Produits!K81</x:f>
        <x:v>0</x:v>
      </x:c>
      <x:c r="J81" s="12" t="n">
        <x:f>Produits!L81</x:f>
        <x:v>0</x:v>
      </x:c>
      <x:c r="K81" s="12" t="str">
        <x:f>Produits!U81</x:f>
      </x:c>
      <x:c r="L81" s="12" t="n">
        <x:f>Produits!V81</x:f>
        <x:v>0</x:v>
      </x:c>
      <x:c r="M81" s="12" t="n">
        <x:f>Produits!Z81</x:f>
        <x:v>0</x:v>
      </x:c>
      <x:c r="N81" s="12" t="n">
        <x:f>Produits!AA81</x:f>
        <x:v>0</x:v>
      </x:c>
      <x:c r="O81" s="12" t="n">
        <x:f>Produits!AB81</x:f>
        <x:v>0</x:v>
      </x:c>
      <x:c r="P81" s="12" t="n">
        <x:f>Produits!AC81</x:f>
        <x:v>0</x:v>
      </x:c>
      <x:c r="Q81" s="12" t="n">
        <x:f>Produits!AG81</x:f>
        <x:v>0</x:v>
      </x:c>
    </x:row>
    <x:row r="82">
      <x:c r="A82" s="12" t="n">
        <x:f>Produits!A82</x:f>
        <x:v>0</x:v>
      </x:c>
      <x:c r="B82" s="12" t="n">
        <x:f>Produits!B82</x:f>
        <x:v>0</x:v>
      </x:c>
      <x:c r="C82" s="12" t="n">
        <x:f>Produits!C82</x:f>
        <x:v>0</x:v>
      </x:c>
      <x:c r="D82" s="12" t="n">
        <x:f>Produits!D82</x:f>
        <x:v>0</x:v>
      </x:c>
      <x:c r="E82" s="12" t="n">
        <x:f>Produits!E82</x:f>
        <x:v>0</x:v>
      </x:c>
      <x:c r="F82" s="12" t="n">
        <x:f>Produits!F82</x:f>
        <x:v>0</x:v>
      </x:c>
      <x:c r="G82" s="12" t="n">
        <x:f>Produits!H82</x:f>
        <x:v>0</x:v>
      </x:c>
      <x:c r="H82" s="12" t="n">
        <x:f>Produits!I82</x:f>
        <x:v>0</x:v>
      </x:c>
      <x:c r="I82" s="12" t="n">
        <x:f>Produits!K82</x:f>
        <x:v>0</x:v>
      </x:c>
      <x:c r="J82" s="12" t="n">
        <x:f>Produits!L82</x:f>
        <x:v>0</x:v>
      </x:c>
      <x:c r="K82" s="12" t="str">
        <x:f>Produits!U82</x:f>
      </x:c>
      <x:c r="L82" s="12" t="n">
        <x:f>Produits!V82</x:f>
        <x:v>0</x:v>
      </x:c>
      <x:c r="M82" s="12" t="n">
        <x:f>Produits!Z82</x:f>
        <x:v>0</x:v>
      </x:c>
      <x:c r="N82" s="12" t="n">
        <x:f>Produits!AA82</x:f>
        <x:v>0</x:v>
      </x:c>
      <x:c r="O82" s="12" t="n">
        <x:f>Produits!AB82</x:f>
        <x:v>0</x:v>
      </x:c>
      <x:c r="P82" s="12" t="n">
        <x:f>Produits!AC82</x:f>
        <x:v>0</x:v>
      </x:c>
      <x:c r="Q82" s="12" t="n">
        <x:f>Produits!AG82</x:f>
        <x:v>0</x:v>
      </x:c>
    </x:row>
    <x:row r="83">
      <x:c r="A83" s="12" t="n">
        <x:f>Produits!A83</x:f>
        <x:v>0</x:v>
      </x:c>
      <x:c r="B83" s="12" t="n">
        <x:f>Produits!B83</x:f>
        <x:v>0</x:v>
      </x:c>
      <x:c r="C83" s="12" t="n">
        <x:f>Produits!C83</x:f>
        <x:v>0</x:v>
      </x:c>
      <x:c r="D83" s="12" t="n">
        <x:f>Produits!D83</x:f>
        <x:v>0</x:v>
      </x:c>
      <x:c r="E83" s="12" t="n">
        <x:f>Produits!E83</x:f>
        <x:v>0</x:v>
      </x:c>
      <x:c r="F83" s="12" t="n">
        <x:f>Produits!F83</x:f>
        <x:v>0</x:v>
      </x:c>
      <x:c r="G83" s="12" t="n">
        <x:f>Produits!H83</x:f>
        <x:v>0</x:v>
      </x:c>
      <x:c r="H83" s="12" t="n">
        <x:f>Produits!I83</x:f>
        <x:v>0</x:v>
      </x:c>
      <x:c r="I83" s="12" t="n">
        <x:f>Produits!K83</x:f>
        <x:v>0</x:v>
      </x:c>
      <x:c r="J83" s="12" t="n">
        <x:f>Produits!L83</x:f>
        <x:v>0</x:v>
      </x:c>
      <x:c r="K83" s="12" t="str">
        <x:f>Produits!U83</x:f>
      </x:c>
      <x:c r="L83" s="12" t="n">
        <x:f>Produits!V83</x:f>
        <x:v>0</x:v>
      </x:c>
      <x:c r="M83" s="12" t="n">
        <x:f>Produits!Z83</x:f>
        <x:v>0</x:v>
      </x:c>
      <x:c r="N83" s="12" t="n">
        <x:f>Produits!AA83</x:f>
        <x:v>0</x:v>
      </x:c>
      <x:c r="O83" s="12" t="n">
        <x:f>Produits!AB83</x:f>
        <x:v>0</x:v>
      </x:c>
      <x:c r="P83" s="12" t="n">
        <x:f>Produits!AC83</x:f>
        <x:v>0</x:v>
      </x:c>
      <x:c r="Q83" s="12" t="n">
        <x:f>Produits!AG83</x:f>
        <x:v>0</x:v>
      </x:c>
    </x:row>
    <x:row r="84">
      <x:c r="A84" s="12" t="n">
        <x:f>Produits!A84</x:f>
        <x:v>0</x:v>
      </x:c>
      <x:c r="B84" s="12" t="n">
        <x:f>Produits!B84</x:f>
        <x:v>0</x:v>
      </x:c>
      <x:c r="C84" s="12" t="n">
        <x:f>Produits!C84</x:f>
        <x:v>0</x:v>
      </x:c>
      <x:c r="D84" s="12" t="n">
        <x:f>Produits!D84</x:f>
        <x:v>0</x:v>
      </x:c>
      <x:c r="E84" s="12" t="n">
        <x:f>Produits!E84</x:f>
        <x:v>0</x:v>
      </x:c>
      <x:c r="F84" s="12" t="n">
        <x:f>Produits!F84</x:f>
        <x:v>0</x:v>
      </x:c>
      <x:c r="G84" s="12" t="n">
        <x:f>Produits!H84</x:f>
        <x:v>0</x:v>
      </x:c>
      <x:c r="H84" s="12" t="n">
        <x:f>Produits!I84</x:f>
        <x:v>0</x:v>
      </x:c>
      <x:c r="I84" s="12" t="n">
        <x:f>Produits!K84</x:f>
        <x:v>0</x:v>
      </x:c>
      <x:c r="J84" s="12" t="n">
        <x:f>Produits!L84</x:f>
        <x:v>0</x:v>
      </x:c>
      <x:c r="K84" s="12" t="str">
        <x:f>Produits!U84</x:f>
      </x:c>
      <x:c r="L84" s="12" t="n">
        <x:f>Produits!V84</x:f>
        <x:v>0</x:v>
      </x:c>
      <x:c r="M84" s="12" t="n">
        <x:f>Produits!Z84</x:f>
        <x:v>0</x:v>
      </x:c>
      <x:c r="N84" s="12" t="n">
        <x:f>Produits!AA84</x:f>
        <x:v>0</x:v>
      </x:c>
      <x:c r="O84" s="12" t="n">
        <x:f>Produits!AB84</x:f>
        <x:v>0</x:v>
      </x:c>
      <x:c r="P84" s="12" t="n">
        <x:f>Produits!AC84</x:f>
        <x:v>0</x:v>
      </x:c>
      <x:c r="Q84" s="12" t="n">
        <x:f>Produits!AG84</x:f>
        <x:v>0</x:v>
      </x:c>
    </x:row>
    <x:row r="85">
      <x:c r="A85" s="12" t="n">
        <x:f>Produits!A85</x:f>
        <x:v>0</x:v>
      </x:c>
      <x:c r="B85" s="12" t="n">
        <x:f>Produits!B85</x:f>
        <x:v>0</x:v>
      </x:c>
      <x:c r="C85" s="12" t="n">
        <x:f>Produits!C85</x:f>
        <x:v>0</x:v>
      </x:c>
      <x:c r="D85" s="12" t="n">
        <x:f>Produits!D85</x:f>
        <x:v>0</x:v>
      </x:c>
      <x:c r="E85" s="12" t="n">
        <x:f>Produits!E85</x:f>
        <x:v>0</x:v>
      </x:c>
      <x:c r="F85" s="12" t="n">
        <x:f>Produits!F85</x:f>
        <x:v>0</x:v>
      </x:c>
      <x:c r="G85" s="12" t="n">
        <x:f>Produits!H85</x:f>
        <x:v>0</x:v>
      </x:c>
      <x:c r="H85" s="12" t="n">
        <x:f>Produits!I85</x:f>
        <x:v>0</x:v>
      </x:c>
      <x:c r="I85" s="12" t="n">
        <x:f>Produits!K85</x:f>
        <x:v>0</x:v>
      </x:c>
      <x:c r="J85" s="12" t="n">
        <x:f>Produits!L85</x:f>
        <x:v>0</x:v>
      </x:c>
      <x:c r="K85" s="12" t="str">
        <x:f>Produits!U85</x:f>
      </x:c>
      <x:c r="L85" s="12" t="n">
        <x:f>Produits!V85</x:f>
        <x:v>0</x:v>
      </x:c>
      <x:c r="M85" s="12" t="n">
        <x:f>Produits!Z85</x:f>
        <x:v>0</x:v>
      </x:c>
      <x:c r="N85" s="12" t="n">
        <x:f>Produits!AA85</x:f>
        <x:v>0</x:v>
      </x:c>
      <x:c r="O85" s="12" t="n">
        <x:f>Produits!AB85</x:f>
        <x:v>0</x:v>
      </x:c>
      <x:c r="P85" s="12" t="n">
        <x:f>Produits!AC85</x:f>
        <x:v>0</x:v>
      </x:c>
      <x:c r="Q85" s="12" t="n">
        <x:f>Produits!AG85</x:f>
        <x:v>0</x:v>
      </x:c>
    </x:row>
    <x:row r="86">
      <x:c r="A86" s="12" t="n">
        <x:f>Produits!A86</x:f>
        <x:v>0</x:v>
      </x:c>
      <x:c r="B86" s="12" t="n">
        <x:f>Produits!B86</x:f>
        <x:v>0</x:v>
      </x:c>
      <x:c r="C86" s="12" t="n">
        <x:f>Produits!C86</x:f>
        <x:v>0</x:v>
      </x:c>
      <x:c r="D86" s="12" t="n">
        <x:f>Produits!D86</x:f>
        <x:v>0</x:v>
      </x:c>
      <x:c r="E86" s="12" t="n">
        <x:f>Produits!E86</x:f>
        <x:v>0</x:v>
      </x:c>
      <x:c r="F86" s="12" t="n">
        <x:f>Produits!F86</x:f>
        <x:v>0</x:v>
      </x:c>
      <x:c r="G86" s="12" t="n">
        <x:f>Produits!H86</x:f>
        <x:v>0</x:v>
      </x:c>
      <x:c r="H86" s="12" t="n">
        <x:f>Produits!I86</x:f>
        <x:v>0</x:v>
      </x:c>
      <x:c r="I86" s="12" t="n">
        <x:f>Produits!K86</x:f>
        <x:v>0</x:v>
      </x:c>
      <x:c r="J86" s="12" t="n">
        <x:f>Produits!L86</x:f>
        <x:v>0</x:v>
      </x:c>
      <x:c r="K86" s="12" t="str">
        <x:f>Produits!U86</x:f>
      </x:c>
      <x:c r="L86" s="12" t="n">
        <x:f>Produits!V86</x:f>
        <x:v>0</x:v>
      </x:c>
      <x:c r="M86" s="12" t="n">
        <x:f>Produits!Z86</x:f>
        <x:v>0</x:v>
      </x:c>
      <x:c r="N86" s="12" t="n">
        <x:f>Produits!AA86</x:f>
        <x:v>0</x:v>
      </x:c>
      <x:c r="O86" s="12" t="n">
        <x:f>Produits!AB86</x:f>
        <x:v>0</x:v>
      </x:c>
      <x:c r="P86" s="12" t="n">
        <x:f>Produits!AC86</x:f>
        <x:v>0</x:v>
      </x:c>
      <x:c r="Q86" s="12" t="n">
        <x:f>Produits!AG86</x:f>
        <x:v>0</x:v>
      </x:c>
    </x:row>
    <x:row r="87">
      <x:c r="A87" s="12" t="n">
        <x:f>Produits!A87</x:f>
        <x:v>0</x:v>
      </x:c>
      <x:c r="B87" s="12" t="n">
        <x:f>Produits!B87</x:f>
        <x:v>0</x:v>
      </x:c>
      <x:c r="C87" s="12" t="n">
        <x:f>Produits!C87</x:f>
        <x:v>0</x:v>
      </x:c>
      <x:c r="D87" s="12" t="n">
        <x:f>Produits!D87</x:f>
        <x:v>0</x:v>
      </x:c>
      <x:c r="E87" s="12" t="n">
        <x:f>Produits!E87</x:f>
        <x:v>0</x:v>
      </x:c>
      <x:c r="F87" s="12" t="n">
        <x:f>Produits!F87</x:f>
        <x:v>0</x:v>
      </x:c>
      <x:c r="G87" s="12" t="n">
        <x:f>Produits!H87</x:f>
        <x:v>0</x:v>
      </x:c>
      <x:c r="H87" s="12" t="n">
        <x:f>Produits!I87</x:f>
        <x:v>0</x:v>
      </x:c>
      <x:c r="I87" s="12" t="n">
        <x:f>Produits!K87</x:f>
        <x:v>0</x:v>
      </x:c>
      <x:c r="J87" s="12" t="n">
        <x:f>Produits!L87</x:f>
        <x:v>0</x:v>
      </x:c>
      <x:c r="K87" s="12" t="str">
        <x:f>Produits!U87</x:f>
      </x:c>
      <x:c r="L87" s="12" t="n">
        <x:f>Produits!V87</x:f>
        <x:v>0</x:v>
      </x:c>
      <x:c r="M87" s="12" t="n">
        <x:f>Produits!Z87</x:f>
        <x:v>0</x:v>
      </x:c>
      <x:c r="N87" s="12" t="n">
        <x:f>Produits!AA87</x:f>
        <x:v>0</x:v>
      </x:c>
      <x:c r="O87" s="12" t="n">
        <x:f>Produits!AB87</x:f>
        <x:v>0</x:v>
      </x:c>
      <x:c r="P87" s="12" t="n">
        <x:f>Produits!AC87</x:f>
        <x:v>0</x:v>
      </x:c>
      <x:c r="Q87" s="12" t="n">
        <x:f>Produits!AG87</x:f>
        <x:v>0</x:v>
      </x:c>
    </x:row>
    <x:row r="88">
      <x:c r="A88" s="12" t="n">
        <x:f>Produits!A88</x:f>
        <x:v>0</x:v>
      </x:c>
      <x:c r="B88" s="12" t="n">
        <x:f>Produits!B88</x:f>
        <x:v>0</x:v>
      </x:c>
      <x:c r="C88" s="12" t="n">
        <x:f>Produits!C88</x:f>
        <x:v>0</x:v>
      </x:c>
      <x:c r="D88" s="12" t="n">
        <x:f>Produits!D88</x:f>
        <x:v>0</x:v>
      </x:c>
      <x:c r="E88" s="12" t="n">
        <x:f>Produits!E88</x:f>
        <x:v>0</x:v>
      </x:c>
      <x:c r="F88" s="12" t="n">
        <x:f>Produits!F88</x:f>
        <x:v>0</x:v>
      </x:c>
      <x:c r="G88" s="12" t="n">
        <x:f>Produits!H88</x:f>
        <x:v>0</x:v>
      </x:c>
      <x:c r="H88" s="12" t="n">
        <x:f>Produits!I88</x:f>
        <x:v>0</x:v>
      </x:c>
      <x:c r="I88" s="12" t="n">
        <x:f>Produits!K88</x:f>
        <x:v>0</x:v>
      </x:c>
      <x:c r="J88" s="12" t="n">
        <x:f>Produits!L88</x:f>
        <x:v>0</x:v>
      </x:c>
      <x:c r="K88" s="12" t="str">
        <x:f>Produits!U88</x:f>
      </x:c>
      <x:c r="L88" s="12" t="n">
        <x:f>Produits!V88</x:f>
        <x:v>0</x:v>
      </x:c>
      <x:c r="M88" s="12" t="n">
        <x:f>Produits!Z88</x:f>
        <x:v>0</x:v>
      </x:c>
      <x:c r="N88" s="12" t="n">
        <x:f>Produits!AA88</x:f>
        <x:v>0</x:v>
      </x:c>
      <x:c r="O88" s="12" t="n">
        <x:f>Produits!AB88</x:f>
        <x:v>0</x:v>
      </x:c>
      <x:c r="P88" s="12" t="n">
        <x:f>Produits!AC88</x:f>
        <x:v>0</x:v>
      </x:c>
      <x:c r="Q88" s="12" t="n">
        <x:f>Produits!AG88</x:f>
        <x:v>0</x:v>
      </x:c>
    </x:row>
    <x:row r="89">
      <x:c r="A89" s="12" t="n">
        <x:f>Produits!A89</x:f>
        <x:v>0</x:v>
      </x:c>
      <x:c r="B89" s="12" t="n">
        <x:f>Produits!B89</x:f>
        <x:v>0</x:v>
      </x:c>
      <x:c r="C89" s="12" t="n">
        <x:f>Produits!C89</x:f>
        <x:v>0</x:v>
      </x:c>
      <x:c r="D89" s="12" t="n">
        <x:f>Produits!D89</x:f>
        <x:v>0</x:v>
      </x:c>
      <x:c r="E89" s="12" t="n">
        <x:f>Produits!E89</x:f>
        <x:v>0</x:v>
      </x:c>
      <x:c r="F89" s="12" t="n">
        <x:f>Produits!F89</x:f>
        <x:v>0</x:v>
      </x:c>
      <x:c r="G89" s="12" t="n">
        <x:f>Produits!H89</x:f>
        <x:v>0</x:v>
      </x:c>
      <x:c r="H89" s="12" t="n">
        <x:f>Produits!I89</x:f>
        <x:v>0</x:v>
      </x:c>
      <x:c r="I89" s="12" t="n">
        <x:f>Produits!K89</x:f>
        <x:v>0</x:v>
      </x:c>
      <x:c r="J89" s="12" t="n">
        <x:f>Produits!L89</x:f>
        <x:v>0</x:v>
      </x:c>
      <x:c r="K89" s="12" t="str">
        <x:f>Produits!U89</x:f>
      </x:c>
      <x:c r="L89" s="12" t="n">
        <x:f>Produits!V89</x:f>
        <x:v>0</x:v>
      </x:c>
      <x:c r="M89" s="12" t="n">
        <x:f>Produits!Z89</x:f>
        <x:v>0</x:v>
      </x:c>
      <x:c r="N89" s="12" t="n">
        <x:f>Produits!AA89</x:f>
        <x:v>0</x:v>
      </x:c>
      <x:c r="O89" s="12" t="n">
        <x:f>Produits!AB89</x:f>
        <x:v>0</x:v>
      </x:c>
      <x:c r="P89" s="12" t="n">
        <x:f>Produits!AC89</x:f>
        <x:v>0</x:v>
      </x:c>
      <x:c r="Q89" s="12" t="n">
        <x:f>Produits!AG89</x:f>
        <x:v>0</x:v>
      </x:c>
    </x:row>
    <x:row r="90">
      <x:c r="A90" s="12" t="n">
        <x:f>Produits!A90</x:f>
        <x:v>0</x:v>
      </x:c>
      <x:c r="B90" s="12" t="n">
        <x:f>Produits!B90</x:f>
        <x:v>0</x:v>
      </x:c>
      <x:c r="C90" s="12" t="n">
        <x:f>Produits!C90</x:f>
        <x:v>0</x:v>
      </x:c>
      <x:c r="D90" s="12" t="n">
        <x:f>Produits!D90</x:f>
        <x:v>0</x:v>
      </x:c>
      <x:c r="E90" s="12" t="n">
        <x:f>Produits!E90</x:f>
        <x:v>0</x:v>
      </x:c>
      <x:c r="F90" s="12" t="n">
        <x:f>Produits!F90</x:f>
        <x:v>0</x:v>
      </x:c>
      <x:c r="G90" s="12" t="n">
        <x:f>Produits!H90</x:f>
        <x:v>0</x:v>
      </x:c>
      <x:c r="H90" s="12" t="n">
        <x:f>Produits!I90</x:f>
        <x:v>0</x:v>
      </x:c>
      <x:c r="I90" s="12" t="n">
        <x:f>Produits!K90</x:f>
        <x:v>0</x:v>
      </x:c>
      <x:c r="J90" s="12" t="n">
        <x:f>Produits!L90</x:f>
        <x:v>0</x:v>
      </x:c>
      <x:c r="K90" s="12" t="str">
        <x:f>Produits!U90</x:f>
      </x:c>
      <x:c r="L90" s="12" t="n">
        <x:f>Produits!V90</x:f>
        <x:v>0</x:v>
      </x:c>
      <x:c r="M90" s="12" t="n">
        <x:f>Produits!Z90</x:f>
        <x:v>0</x:v>
      </x:c>
      <x:c r="N90" s="12" t="n">
        <x:f>Produits!AA90</x:f>
        <x:v>0</x:v>
      </x:c>
      <x:c r="O90" s="12" t="n">
        <x:f>Produits!AB90</x:f>
        <x:v>0</x:v>
      </x:c>
      <x:c r="P90" s="12" t="n">
        <x:f>Produits!AC90</x:f>
        <x:v>0</x:v>
      </x:c>
      <x:c r="Q90" s="12" t="n">
        <x:f>Produits!AG90</x:f>
        <x:v>0</x:v>
      </x:c>
    </x:row>
    <x:row r="91">
      <x:c r="A91" s="12" t="n">
        <x:f>Produits!A91</x:f>
        <x:v>0</x:v>
      </x:c>
      <x:c r="B91" s="12" t="n">
        <x:f>Produits!B91</x:f>
        <x:v>0</x:v>
      </x:c>
      <x:c r="C91" s="12" t="n">
        <x:f>Produits!C91</x:f>
        <x:v>0</x:v>
      </x:c>
      <x:c r="D91" s="12" t="n">
        <x:f>Produits!D91</x:f>
        <x:v>0</x:v>
      </x:c>
      <x:c r="E91" s="12" t="n">
        <x:f>Produits!E91</x:f>
        <x:v>0</x:v>
      </x:c>
      <x:c r="F91" s="12" t="n">
        <x:f>Produits!F91</x:f>
        <x:v>0</x:v>
      </x:c>
      <x:c r="G91" s="12" t="n">
        <x:f>Produits!H91</x:f>
        <x:v>0</x:v>
      </x:c>
      <x:c r="H91" s="12" t="n">
        <x:f>Produits!I91</x:f>
        <x:v>0</x:v>
      </x:c>
      <x:c r="I91" s="12" t="n">
        <x:f>Produits!K91</x:f>
        <x:v>0</x:v>
      </x:c>
      <x:c r="J91" s="12" t="n">
        <x:f>Produits!L91</x:f>
        <x:v>0</x:v>
      </x:c>
      <x:c r="K91" s="12" t="str">
        <x:f>Produits!U91</x:f>
      </x:c>
      <x:c r="L91" s="12" t="n">
        <x:f>Produits!V91</x:f>
        <x:v>0</x:v>
      </x:c>
      <x:c r="M91" s="12" t="n">
        <x:f>Produits!Z91</x:f>
        <x:v>0</x:v>
      </x:c>
      <x:c r="N91" s="12" t="n">
        <x:f>Produits!AA91</x:f>
        <x:v>0</x:v>
      </x:c>
      <x:c r="O91" s="12" t="n">
        <x:f>Produits!AB91</x:f>
        <x:v>0</x:v>
      </x:c>
      <x:c r="P91" s="12" t="n">
        <x:f>Produits!AC91</x:f>
        <x:v>0</x:v>
      </x:c>
      <x:c r="Q91" s="12" t="n">
        <x:f>Produits!AG91</x:f>
        <x:v>0</x:v>
      </x:c>
    </x:row>
    <x:row r="92">
      <x:c r="A92" s="12" t="n">
        <x:f>Produits!A92</x:f>
        <x:v>0</x:v>
      </x:c>
      <x:c r="B92" s="12" t="n">
        <x:f>Produits!B92</x:f>
        <x:v>0</x:v>
      </x:c>
      <x:c r="C92" s="12" t="n">
        <x:f>Produits!C92</x:f>
        <x:v>0</x:v>
      </x:c>
      <x:c r="D92" s="12" t="n">
        <x:f>Produits!D92</x:f>
        <x:v>0</x:v>
      </x:c>
      <x:c r="E92" s="12" t="n">
        <x:f>Produits!E92</x:f>
        <x:v>0</x:v>
      </x:c>
      <x:c r="F92" s="12" t="n">
        <x:f>Produits!F92</x:f>
        <x:v>0</x:v>
      </x:c>
      <x:c r="G92" s="12" t="n">
        <x:f>Produits!H92</x:f>
        <x:v>0</x:v>
      </x:c>
      <x:c r="H92" s="12" t="n">
        <x:f>Produits!I92</x:f>
        <x:v>0</x:v>
      </x:c>
      <x:c r="I92" s="12" t="n">
        <x:f>Produits!K92</x:f>
        <x:v>0</x:v>
      </x:c>
      <x:c r="J92" s="12" t="n">
        <x:f>Produits!L92</x:f>
        <x:v>0</x:v>
      </x:c>
      <x:c r="K92" s="12" t="str">
        <x:f>Produits!U92</x:f>
      </x:c>
      <x:c r="L92" s="12" t="n">
        <x:f>Produits!V92</x:f>
        <x:v>0</x:v>
      </x:c>
      <x:c r="M92" s="12" t="n">
        <x:f>Produits!Z92</x:f>
        <x:v>0</x:v>
      </x:c>
      <x:c r="N92" s="12" t="n">
        <x:f>Produits!AA92</x:f>
        <x:v>0</x:v>
      </x:c>
      <x:c r="O92" s="12" t="n">
        <x:f>Produits!AB92</x:f>
        <x:v>0</x:v>
      </x:c>
      <x:c r="P92" s="12" t="n">
        <x:f>Produits!AC92</x:f>
        <x:v>0</x:v>
      </x:c>
      <x:c r="Q92" s="12" t="n">
        <x:f>Produits!AG92</x:f>
        <x:v>0</x:v>
      </x:c>
    </x:row>
    <x:row r="93">
      <x:c r="A93" s="12" t="n">
        <x:f>Produits!A93</x:f>
        <x:v>0</x:v>
      </x:c>
      <x:c r="B93" s="12" t="n">
        <x:f>Produits!B93</x:f>
        <x:v>0</x:v>
      </x:c>
      <x:c r="C93" s="12" t="n">
        <x:f>Produits!C93</x:f>
        <x:v>0</x:v>
      </x:c>
      <x:c r="D93" s="12" t="n">
        <x:f>Produits!D93</x:f>
        <x:v>0</x:v>
      </x:c>
      <x:c r="E93" s="12" t="n">
        <x:f>Produits!E93</x:f>
        <x:v>0</x:v>
      </x:c>
      <x:c r="F93" s="12" t="n">
        <x:f>Produits!F93</x:f>
        <x:v>0</x:v>
      </x:c>
      <x:c r="G93" s="12" t="n">
        <x:f>Produits!H93</x:f>
        <x:v>0</x:v>
      </x:c>
      <x:c r="H93" s="12" t="n">
        <x:f>Produits!I93</x:f>
        <x:v>0</x:v>
      </x:c>
      <x:c r="I93" s="12" t="n">
        <x:f>Produits!K93</x:f>
        <x:v>0</x:v>
      </x:c>
      <x:c r="J93" s="12" t="n">
        <x:f>Produits!L93</x:f>
        <x:v>0</x:v>
      </x:c>
      <x:c r="K93" s="12" t="str">
        <x:f>Produits!U93</x:f>
      </x:c>
      <x:c r="L93" s="12" t="n">
        <x:f>Produits!V93</x:f>
        <x:v>0</x:v>
      </x:c>
      <x:c r="M93" s="12" t="n">
        <x:f>Produits!Z93</x:f>
        <x:v>0</x:v>
      </x:c>
      <x:c r="N93" s="12" t="n">
        <x:f>Produits!AA93</x:f>
        <x:v>0</x:v>
      </x:c>
      <x:c r="O93" s="12" t="n">
        <x:f>Produits!AB93</x:f>
        <x:v>0</x:v>
      </x:c>
      <x:c r="P93" s="12" t="n">
        <x:f>Produits!AC93</x:f>
        <x:v>0</x:v>
      </x:c>
      <x:c r="Q93" s="12" t="n">
        <x:f>Produits!AG93</x:f>
        <x:v>0</x:v>
      </x:c>
    </x:row>
    <x:row r="94">
      <x:c r="A94" s="12" t="n">
        <x:f>Produits!A94</x:f>
        <x:v>0</x:v>
      </x:c>
      <x:c r="B94" s="12" t="n">
        <x:f>Produits!B94</x:f>
        <x:v>0</x:v>
      </x:c>
      <x:c r="C94" s="12" t="n">
        <x:f>Produits!C94</x:f>
        <x:v>0</x:v>
      </x:c>
      <x:c r="D94" s="12" t="n">
        <x:f>Produits!D94</x:f>
        <x:v>0</x:v>
      </x:c>
      <x:c r="E94" s="12" t="n">
        <x:f>Produits!E94</x:f>
        <x:v>0</x:v>
      </x:c>
      <x:c r="F94" s="12" t="n">
        <x:f>Produits!F94</x:f>
        <x:v>0</x:v>
      </x:c>
      <x:c r="G94" s="12" t="n">
        <x:f>Produits!H94</x:f>
        <x:v>0</x:v>
      </x:c>
      <x:c r="H94" s="12" t="n">
        <x:f>Produits!I94</x:f>
        <x:v>0</x:v>
      </x:c>
      <x:c r="I94" s="12" t="n">
        <x:f>Produits!K94</x:f>
        <x:v>0</x:v>
      </x:c>
      <x:c r="J94" s="12" t="n">
        <x:f>Produits!L94</x:f>
        <x:v>0</x:v>
      </x:c>
      <x:c r="K94" s="12" t="str">
        <x:f>Produits!U94</x:f>
      </x:c>
      <x:c r="L94" s="12" t="n">
        <x:f>Produits!V94</x:f>
        <x:v>0</x:v>
      </x:c>
      <x:c r="M94" s="12" t="n">
        <x:f>Produits!Z94</x:f>
        <x:v>0</x:v>
      </x:c>
      <x:c r="N94" s="12" t="n">
        <x:f>Produits!AA94</x:f>
        <x:v>0</x:v>
      </x:c>
      <x:c r="O94" s="12" t="n">
        <x:f>Produits!AB94</x:f>
        <x:v>0</x:v>
      </x:c>
      <x:c r="P94" s="12" t="n">
        <x:f>Produits!AC94</x:f>
        <x:v>0</x:v>
      </x:c>
      <x:c r="Q94" s="12" t="n">
        <x:f>Produits!AG94</x:f>
        <x:v>0</x:v>
      </x:c>
    </x:row>
    <x:row r="95">
      <x:c r="A95" s="12" t="n">
        <x:f>Produits!A95</x:f>
        <x:v>0</x:v>
      </x:c>
      <x:c r="B95" s="12" t="n">
        <x:f>Produits!B95</x:f>
        <x:v>0</x:v>
      </x:c>
      <x:c r="C95" s="12" t="n">
        <x:f>Produits!C95</x:f>
        <x:v>0</x:v>
      </x:c>
      <x:c r="D95" s="12" t="n">
        <x:f>Produits!D95</x:f>
        <x:v>0</x:v>
      </x:c>
      <x:c r="E95" s="12" t="n">
        <x:f>Produits!E95</x:f>
        <x:v>0</x:v>
      </x:c>
      <x:c r="F95" s="12" t="n">
        <x:f>Produits!F95</x:f>
        <x:v>0</x:v>
      </x:c>
      <x:c r="G95" s="12" t="n">
        <x:f>Produits!H95</x:f>
        <x:v>0</x:v>
      </x:c>
      <x:c r="H95" s="12" t="n">
        <x:f>Produits!I95</x:f>
        <x:v>0</x:v>
      </x:c>
      <x:c r="I95" s="12" t="n">
        <x:f>Produits!K95</x:f>
        <x:v>0</x:v>
      </x:c>
      <x:c r="J95" s="12" t="n">
        <x:f>Produits!L95</x:f>
        <x:v>0</x:v>
      </x:c>
      <x:c r="K95" s="12" t="str">
        <x:f>Produits!U95</x:f>
      </x:c>
      <x:c r="L95" s="12" t="n">
        <x:f>Produits!V95</x:f>
        <x:v>0</x:v>
      </x:c>
      <x:c r="M95" s="12" t="n">
        <x:f>Produits!Z95</x:f>
        <x:v>0</x:v>
      </x:c>
      <x:c r="N95" s="12" t="n">
        <x:f>Produits!AA95</x:f>
        <x:v>0</x:v>
      </x:c>
      <x:c r="O95" s="12" t="n">
        <x:f>Produits!AB95</x:f>
        <x:v>0</x:v>
      </x:c>
      <x:c r="P95" s="12" t="n">
        <x:f>Produits!AC95</x:f>
        <x:v>0</x:v>
      </x:c>
      <x:c r="Q95" s="12" t="n">
        <x:f>Produits!AG95</x:f>
        <x:v>0</x:v>
      </x:c>
    </x:row>
    <x:row r="96">
      <x:c r="A96" s="12" t="n">
        <x:f>Produits!A96</x:f>
        <x:v>0</x:v>
      </x:c>
      <x:c r="B96" s="12" t="n">
        <x:f>Produits!B96</x:f>
        <x:v>0</x:v>
      </x:c>
      <x:c r="C96" s="12" t="n">
        <x:f>Produits!C96</x:f>
        <x:v>0</x:v>
      </x:c>
      <x:c r="D96" s="12" t="n">
        <x:f>Produits!D96</x:f>
        <x:v>0</x:v>
      </x:c>
      <x:c r="E96" s="12" t="n">
        <x:f>Produits!E96</x:f>
        <x:v>0</x:v>
      </x:c>
      <x:c r="F96" s="12" t="n">
        <x:f>Produits!F96</x:f>
        <x:v>0</x:v>
      </x:c>
      <x:c r="G96" s="12" t="n">
        <x:f>Produits!H96</x:f>
        <x:v>0</x:v>
      </x:c>
      <x:c r="H96" s="12" t="n">
        <x:f>Produits!I96</x:f>
        <x:v>0</x:v>
      </x:c>
      <x:c r="I96" s="12" t="n">
        <x:f>Produits!K96</x:f>
        <x:v>0</x:v>
      </x:c>
      <x:c r="J96" s="12" t="n">
        <x:f>Produits!L96</x:f>
        <x:v>0</x:v>
      </x:c>
      <x:c r="K96" s="12" t="str">
        <x:f>Produits!U96</x:f>
      </x:c>
      <x:c r="L96" s="12" t="n">
        <x:f>Produits!V96</x:f>
        <x:v>0</x:v>
      </x:c>
      <x:c r="M96" s="12" t="n">
        <x:f>Produits!Z96</x:f>
        <x:v>0</x:v>
      </x:c>
      <x:c r="N96" s="12" t="n">
        <x:f>Produits!AA96</x:f>
        <x:v>0</x:v>
      </x:c>
      <x:c r="O96" s="12" t="n">
        <x:f>Produits!AB96</x:f>
        <x:v>0</x:v>
      </x:c>
      <x:c r="P96" s="12" t="n">
        <x:f>Produits!AC96</x:f>
        <x:v>0</x:v>
      </x:c>
      <x:c r="Q96" s="12" t="n">
        <x:f>Produits!AG96</x:f>
        <x:v>0</x:v>
      </x:c>
    </x:row>
    <x:row r="97">
      <x:c r="A97" s="12" t="n">
        <x:f>Produits!A97</x:f>
        <x:v>0</x:v>
      </x:c>
      <x:c r="B97" s="12" t="n">
        <x:f>Produits!B97</x:f>
        <x:v>0</x:v>
      </x:c>
      <x:c r="C97" s="12" t="n">
        <x:f>Produits!C97</x:f>
        <x:v>0</x:v>
      </x:c>
      <x:c r="D97" s="12" t="n">
        <x:f>Produits!D97</x:f>
        <x:v>0</x:v>
      </x:c>
      <x:c r="E97" s="12" t="n">
        <x:f>Produits!E97</x:f>
        <x:v>0</x:v>
      </x:c>
      <x:c r="F97" s="12" t="n">
        <x:f>Produits!F97</x:f>
        <x:v>0</x:v>
      </x:c>
      <x:c r="G97" s="12" t="n">
        <x:f>Produits!H97</x:f>
        <x:v>0</x:v>
      </x:c>
      <x:c r="H97" s="12" t="n">
        <x:f>Produits!I97</x:f>
        <x:v>0</x:v>
      </x:c>
      <x:c r="I97" s="12" t="n">
        <x:f>Produits!K97</x:f>
        <x:v>0</x:v>
      </x:c>
      <x:c r="J97" s="12" t="n">
        <x:f>Produits!L97</x:f>
        <x:v>0</x:v>
      </x:c>
      <x:c r="K97" s="12" t="str">
        <x:f>Produits!U97</x:f>
      </x:c>
      <x:c r="L97" s="12" t="n">
        <x:f>Produits!V97</x:f>
        <x:v>0</x:v>
      </x:c>
      <x:c r="M97" s="12" t="n">
        <x:f>Produits!Z97</x:f>
        <x:v>0</x:v>
      </x:c>
      <x:c r="N97" s="12" t="n">
        <x:f>Produits!AA97</x:f>
        <x:v>0</x:v>
      </x:c>
      <x:c r="O97" s="12" t="n">
        <x:f>Produits!AB97</x:f>
        <x:v>0</x:v>
      </x:c>
      <x:c r="P97" s="12" t="n">
        <x:f>Produits!AC97</x:f>
        <x:v>0</x:v>
      </x:c>
      <x:c r="Q97" s="12" t="n">
        <x:f>Produits!AG97</x:f>
        <x:v>0</x:v>
      </x:c>
    </x:row>
    <x:row r="98">
      <x:c r="A98" s="12" t="n">
        <x:f>Produits!A98</x:f>
        <x:v>0</x:v>
      </x:c>
      <x:c r="B98" s="12" t="n">
        <x:f>Produits!B98</x:f>
        <x:v>0</x:v>
      </x:c>
      <x:c r="C98" s="12" t="n">
        <x:f>Produits!C98</x:f>
        <x:v>0</x:v>
      </x:c>
      <x:c r="D98" s="12" t="n">
        <x:f>Produits!D98</x:f>
        <x:v>0</x:v>
      </x:c>
      <x:c r="E98" s="12" t="n">
        <x:f>Produits!E98</x:f>
        <x:v>0</x:v>
      </x:c>
      <x:c r="F98" s="12" t="n">
        <x:f>Produits!F98</x:f>
        <x:v>0</x:v>
      </x:c>
      <x:c r="G98" s="12" t="n">
        <x:f>Produits!H98</x:f>
        <x:v>0</x:v>
      </x:c>
      <x:c r="H98" s="12" t="n">
        <x:f>Produits!I98</x:f>
        <x:v>0</x:v>
      </x:c>
      <x:c r="I98" s="12" t="n">
        <x:f>Produits!K98</x:f>
        <x:v>0</x:v>
      </x:c>
      <x:c r="J98" s="12" t="n">
        <x:f>Produits!L98</x:f>
        <x:v>0</x:v>
      </x:c>
      <x:c r="K98" s="12" t="str">
        <x:f>Produits!U98</x:f>
      </x:c>
      <x:c r="L98" s="12" t="n">
        <x:f>Produits!V98</x:f>
        <x:v>0</x:v>
      </x:c>
      <x:c r="M98" s="12" t="n">
        <x:f>Produits!Z98</x:f>
        <x:v>0</x:v>
      </x:c>
      <x:c r="N98" s="12" t="n">
        <x:f>Produits!AA98</x:f>
        <x:v>0</x:v>
      </x:c>
      <x:c r="O98" s="12" t="n">
        <x:f>Produits!AB98</x:f>
        <x:v>0</x:v>
      </x:c>
      <x:c r="P98" s="12" t="n">
        <x:f>Produits!AC98</x:f>
        <x:v>0</x:v>
      </x:c>
      <x:c r="Q98" s="12" t="n">
        <x:f>Produits!AG98</x:f>
        <x:v>0</x:v>
      </x:c>
    </x:row>
    <x:row r="99">
      <x:c r="A99" s="12" t="n">
        <x:f>Produits!A99</x:f>
        <x:v>0</x:v>
      </x:c>
      <x:c r="B99" s="12" t="n">
        <x:f>Produits!B99</x:f>
        <x:v>0</x:v>
      </x:c>
      <x:c r="C99" s="12" t="n">
        <x:f>Produits!C99</x:f>
        <x:v>0</x:v>
      </x:c>
      <x:c r="D99" s="12" t="n">
        <x:f>Produits!D99</x:f>
        <x:v>0</x:v>
      </x:c>
      <x:c r="E99" s="12" t="n">
        <x:f>Produits!E99</x:f>
        <x:v>0</x:v>
      </x:c>
      <x:c r="F99" s="12" t="n">
        <x:f>Produits!F99</x:f>
        <x:v>0</x:v>
      </x:c>
      <x:c r="G99" s="12" t="n">
        <x:f>Produits!H99</x:f>
        <x:v>0</x:v>
      </x:c>
      <x:c r="H99" s="12" t="n">
        <x:f>Produits!I99</x:f>
        <x:v>0</x:v>
      </x:c>
      <x:c r="I99" s="12" t="n">
        <x:f>Produits!K99</x:f>
        <x:v>0</x:v>
      </x:c>
      <x:c r="J99" s="12" t="n">
        <x:f>Produits!L99</x:f>
        <x:v>0</x:v>
      </x:c>
      <x:c r="K99" s="12" t="str">
        <x:f>Produits!U99</x:f>
      </x:c>
      <x:c r="L99" s="12" t="n">
        <x:f>Produits!V99</x:f>
        <x:v>0</x:v>
      </x:c>
      <x:c r="M99" s="12" t="n">
        <x:f>Produits!Z99</x:f>
        <x:v>0</x:v>
      </x:c>
      <x:c r="N99" s="12" t="n">
        <x:f>Produits!AA99</x:f>
        <x:v>0</x:v>
      </x:c>
      <x:c r="O99" s="12" t="n">
        <x:f>Produits!AB99</x:f>
        <x:v>0</x:v>
      </x:c>
      <x:c r="P99" s="12" t="n">
        <x:f>Produits!AC99</x:f>
        <x:v>0</x:v>
      </x:c>
      <x:c r="Q99" s="12" t="n">
        <x:f>Produits!AG99</x:f>
        <x:v>0</x:v>
      </x:c>
    </x:row>
    <x:row r="100">
      <x:c r="A100" s="12" t="n">
        <x:f>Produits!A100</x:f>
        <x:v>0</x:v>
      </x:c>
      <x:c r="B100" s="12" t="n">
        <x:f>Produits!B100</x:f>
        <x:v>0</x:v>
      </x:c>
      <x:c r="C100" s="12" t="n">
        <x:f>Produits!C100</x:f>
        <x:v>0</x:v>
      </x:c>
      <x:c r="D100" s="12" t="n">
        <x:f>Produits!D100</x:f>
        <x:v>0</x:v>
      </x:c>
      <x:c r="E100" s="12" t="n">
        <x:f>Produits!E100</x:f>
        <x:v>0</x:v>
      </x:c>
      <x:c r="F100" s="12" t="n">
        <x:f>Produits!F100</x:f>
        <x:v>0</x:v>
      </x:c>
      <x:c r="G100" s="12" t="n">
        <x:f>Produits!H100</x:f>
        <x:v>0</x:v>
      </x:c>
      <x:c r="H100" s="12" t="n">
        <x:f>Produits!I100</x:f>
        <x:v>0</x:v>
      </x:c>
      <x:c r="I100" s="12" t="n">
        <x:f>Produits!K100</x:f>
        <x:v>0</x:v>
      </x:c>
      <x:c r="J100" s="12" t="n">
        <x:f>Produits!L100</x:f>
        <x:v>0</x:v>
      </x:c>
      <x:c r="K100" s="12" t="str">
        <x:f>Produits!U100</x:f>
      </x:c>
      <x:c r="L100" s="12" t="n">
        <x:f>Produits!V100</x:f>
        <x:v>0</x:v>
      </x:c>
      <x:c r="M100" s="12" t="n">
        <x:f>Produits!Z100</x:f>
        <x:v>0</x:v>
      </x:c>
      <x:c r="N100" s="12" t="n">
        <x:f>Produits!AA100</x:f>
        <x:v>0</x:v>
      </x:c>
      <x:c r="O100" s="12" t="n">
        <x:f>Produits!AB100</x:f>
        <x:v>0</x:v>
      </x:c>
      <x:c r="P100" s="12" t="n">
        <x:f>Produits!AC100</x:f>
        <x:v>0</x:v>
      </x:c>
      <x:c r="Q100" s="12" t="n">
        <x:f>Produits!AG100</x:f>
        <x:v>0</x:v>
      </x:c>
    </x:row>
    <x:row r="101">
      <x:c r="A101" s="12" t="n">
        <x:f>Produits!A101</x:f>
        <x:v>0</x:v>
      </x:c>
      <x:c r="B101" s="12" t="n">
        <x:f>Produits!B101</x:f>
        <x:v>0</x:v>
      </x:c>
      <x:c r="C101" s="12" t="n">
        <x:f>Produits!C101</x:f>
        <x:v>0</x:v>
      </x:c>
      <x:c r="D101" s="12" t="n">
        <x:f>Produits!D101</x:f>
        <x:v>0</x:v>
      </x:c>
      <x:c r="E101" s="12" t="n">
        <x:f>Produits!E101</x:f>
        <x:v>0</x:v>
      </x:c>
      <x:c r="F101" s="12" t="n">
        <x:f>Produits!F101</x:f>
        <x:v>0</x:v>
      </x:c>
      <x:c r="G101" s="12" t="n">
        <x:f>Produits!H101</x:f>
        <x:v>0</x:v>
      </x:c>
      <x:c r="H101" s="12" t="n">
        <x:f>Produits!I101</x:f>
        <x:v>0</x:v>
      </x:c>
      <x:c r="I101" s="12" t="n">
        <x:f>Produits!K101</x:f>
        <x:v>0</x:v>
      </x:c>
      <x:c r="J101" s="12" t="n">
        <x:f>Produits!L101</x:f>
        <x:v>0</x:v>
      </x:c>
      <x:c r="K101" s="12" t="str">
        <x:f>Produits!U101</x:f>
      </x:c>
      <x:c r="L101" s="12" t="n">
        <x:f>Produits!V101</x:f>
        <x:v>0</x:v>
      </x:c>
      <x:c r="M101" s="12" t="n">
        <x:f>Produits!Z101</x:f>
        <x:v>0</x:v>
      </x:c>
      <x:c r="N101" s="12" t="n">
        <x:f>Produits!AA101</x:f>
        <x:v>0</x:v>
      </x:c>
      <x:c r="O101" s="12" t="n">
        <x:f>Produits!AB101</x:f>
        <x:v>0</x:v>
      </x:c>
      <x:c r="P101" s="12" t="n">
        <x:f>Produits!AC101</x:f>
        <x:v>0</x:v>
      </x:c>
      <x:c r="Q101" s="12" t="n">
        <x:f>Produits!AG101</x:f>
        <x:v>0</x:v>
      </x:c>
    </x:row>
    <x:row r="102">
      <x:c r="A102" s="12" t="n">
        <x:f>Produits!A102</x:f>
        <x:v>0</x:v>
      </x:c>
      <x:c r="B102" s="12" t="n">
        <x:f>Produits!B102</x:f>
        <x:v>0</x:v>
      </x:c>
      <x:c r="C102" s="12" t="n">
        <x:f>Produits!C102</x:f>
        <x:v>0</x:v>
      </x:c>
      <x:c r="D102" s="12" t="n">
        <x:f>Produits!D102</x:f>
        <x:v>0</x:v>
      </x:c>
      <x:c r="E102" s="12" t="n">
        <x:f>Produits!E102</x:f>
        <x:v>0</x:v>
      </x:c>
      <x:c r="F102" s="12" t="n">
        <x:f>Produits!F102</x:f>
        <x:v>0</x:v>
      </x:c>
      <x:c r="G102" s="12" t="n">
        <x:f>Produits!H102</x:f>
        <x:v>0</x:v>
      </x:c>
      <x:c r="H102" s="12" t="n">
        <x:f>Produits!I102</x:f>
        <x:v>0</x:v>
      </x:c>
      <x:c r="I102" s="12" t="n">
        <x:f>Produits!K102</x:f>
        <x:v>0</x:v>
      </x:c>
      <x:c r="J102" s="12" t="n">
        <x:f>Produits!L102</x:f>
        <x:v>0</x:v>
      </x:c>
      <x:c r="K102" s="12" t="str">
        <x:f>Produits!U102</x:f>
      </x:c>
      <x:c r="L102" s="12" t="n">
        <x:f>Produits!V102</x:f>
        <x:v>0</x:v>
      </x:c>
      <x:c r="M102" s="12" t="n">
        <x:f>Produits!Z102</x:f>
        <x:v>0</x:v>
      </x:c>
      <x:c r="N102" s="12" t="n">
        <x:f>Produits!AA102</x:f>
        <x:v>0</x:v>
      </x:c>
      <x:c r="O102" s="12" t="n">
        <x:f>Produits!AB102</x:f>
        <x:v>0</x:v>
      </x:c>
      <x:c r="P102" s="12" t="n">
        <x:f>Produits!AC102</x:f>
        <x:v>0</x:v>
      </x:c>
      <x:c r="Q102" s="12" t="n">
        <x:f>Produits!AG102</x:f>
        <x:v>0</x:v>
      </x:c>
    </x:row>
    <x:row r="103">
      <x:c r="A103" s="12" t="n">
        <x:f>Produits!A103</x:f>
        <x:v>0</x:v>
      </x:c>
      <x:c r="B103" s="12" t="n">
        <x:f>Produits!B103</x:f>
        <x:v>0</x:v>
      </x:c>
      <x:c r="C103" s="12" t="n">
        <x:f>Produits!C103</x:f>
        <x:v>0</x:v>
      </x:c>
      <x:c r="D103" s="12" t="n">
        <x:f>Produits!D103</x:f>
        <x:v>0</x:v>
      </x:c>
      <x:c r="E103" s="12" t="n">
        <x:f>Produits!E103</x:f>
        <x:v>0</x:v>
      </x:c>
      <x:c r="F103" s="12" t="n">
        <x:f>Produits!F103</x:f>
        <x:v>0</x:v>
      </x:c>
      <x:c r="G103" s="12" t="n">
        <x:f>Produits!H103</x:f>
        <x:v>0</x:v>
      </x:c>
      <x:c r="H103" s="12" t="n">
        <x:f>Produits!I103</x:f>
        <x:v>0</x:v>
      </x:c>
      <x:c r="I103" s="12" t="n">
        <x:f>Produits!K103</x:f>
        <x:v>0</x:v>
      </x:c>
      <x:c r="J103" s="12" t="n">
        <x:f>Produits!L103</x:f>
        <x:v>0</x:v>
      </x:c>
      <x:c r="K103" s="12" t="str">
        <x:f>Produits!U103</x:f>
      </x:c>
      <x:c r="L103" s="12" t="n">
        <x:f>Produits!V103</x:f>
        <x:v>0</x:v>
      </x:c>
      <x:c r="M103" s="12" t="n">
        <x:f>Produits!Z103</x:f>
        <x:v>0</x:v>
      </x:c>
      <x:c r="N103" s="12" t="n">
        <x:f>Produits!AA103</x:f>
        <x:v>0</x:v>
      </x:c>
      <x:c r="O103" s="12" t="n">
        <x:f>Produits!AB103</x:f>
        <x:v>0</x:v>
      </x:c>
      <x:c r="P103" s="12" t="n">
        <x:f>Produits!AC103</x:f>
        <x:v>0</x:v>
      </x:c>
      <x:c r="Q103" s="12" t="n">
        <x:f>Produits!AG103</x:f>
        <x:v>0</x:v>
      </x:c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6" t="str">
        <x:v>Badges</x:v>
      </x:c>
      <x:c r="B1" s="6" t="str">
        <x:v>Statuts</x:v>
      </x:c>
      <x:c r="C1" s="6" t="str">
        <x:v>Budgets</x:v>
      </x:c>
      <x:c r="D1" s="6" t="str">
        <x:v>Niveaux</x:v>
      </x:c>
      <x:c r="E1" s="6" t="str">
        <x:v>Catégories</x:v>
      </x:c>
    </x:row>
    <x:row r="2">
      <x:c r="A2" s="12" t="str">
        <x:v>Choix MuscuGuide</x:v>
      </x:c>
      <x:c r="B2" s="12" t="str">
        <x:v>À rechercher</x:v>
      </x:c>
      <x:c r="C2" s="12" t="str">
        <x:v>Essentials</x:v>
      </x:c>
      <x:c r="D2" s="12" t="str">
        <x:v>Débutant</x:v>
      </x:c>
      <x:c r="E2" s="12" t="str">
        <x:v>Whey protéine</x:v>
      </x:c>
    </x:row>
    <x:row r="3">
      <x:c r="A3" s="12" t="str">
        <x:v>Meilleur rapport qualité/prix</x:v>
      </x:c>
      <x:c r="B3" s="12" t="str">
        <x:v>ASIN à vérifier</x:v>
      </x:c>
      <x:c r="C3" s="12" t="str">
        <x:v>Performance</x:v>
      </x:c>
      <x:c r="D3" s="12" t="str">
        <x:v>Intermédiaire</x:v>
      </x:c>
      <x:c r="E3" s="12" t="str">
        <x:v>Créatine</x:v>
      </x:c>
    </x:row>
    <x:row r="4">
      <x:c r="A4" s="12" t="str">
        <x:v>Premium</x:v>
      </x:c>
      <x:c r="B4" s="12" t="str">
        <x:v>Validé</x:v>
      </x:c>
      <x:c r="C4" s="12" t="str">
        <x:v>Elite</x:v>
      </x:c>
      <x:c r="D4" s="12" t="str">
        <x:v>Confirmé</x:v>
      </x:c>
      <x:c r="E4" s="12" t="str">
        <x:v>Pré-workout</x:v>
      </x:c>
    </x:row>
    <x:row r="5">
      <x:c r="A5" s="12" t="str">
        <x:v>Idéal débutant</x:v>
      </x:c>
      <x:c r="B5" s="12" t="str">
        <x:v>À intégrer</x:v>
      </x:c>
      <x:c r="C5" s="12"/>
      <x:c r="D5" s="12"/>
      <x:c r="E5" s="12" t="str">
        <x:v>Shakers</x:v>
      </x:c>
    </x:row>
    <x:row r="6">
      <x:c r="A6" s="12" t="str">
        <x:v>Idéal Home Gym</x:v>
      </x:c>
      <x:c r="B6" s="12" t="str">
        <x:v>Intégré</x:v>
      </x:c>
      <x:c r="C6" s="12"/>
      <x:c r="D6" s="12"/>
      <x:c r="E6" s="12" t="str">
        <x:v>Haltères réglables</x:v>
      </x:c>
    </x:row>
    <x:row r="7">
      <x:c r="A7" s="12" t="str">
        <x:v>Performance</x:v>
      </x:c>
      <x:c r="B7" s="12" t="str">
        <x:v>À remplacer</x:v>
      </x:c>
      <x:c r="C7" s="12"/>
      <x:c r="D7" s="12"/>
      <x:c r="E7" s="12" t="str">
        <x:v>Banc de musculation</x:v>
      </x:c>
    </x:row>
    <x:row r="8">
      <x:c r="A8" s="12" t="str">
        <x:v>Petit budget</x:v>
      </x:c>
      <x:c r="B8" s="12" t="str">
        <x:v>Indisponible</x:v>
      </x:c>
      <x:c r="C8" s="12"/>
      <x:c r="D8" s="12"/>
      <x:c r="E8" s="12" t="str">
        <x:v>Rack à squat</x:v>
      </x:c>
    </x:row>
    <x:row r="9">
      <x:c r="A9" s="12"/>
      <x:c r="B9" s="12"/>
      <x:c r="C9" s="12"/>
      <x:c r="D9" s="12"/>
      <x:c r="E9" s="12" t="str">
        <x:v>Station Home Gym</x:v>
      </x:c>
    </x:row>
    <x:row r="10">
      <x:c r="A10" s="12"/>
      <x:c r="B10" s="12"/>
      <x:c r="C10" s="12"/>
      <x:c r="D10" s="12"/>
      <x:c r="E10" s="12" t="str">
        <x:v>Tapis de course pliable</x:v>
      </x:c>
    </x:row>
    <x:row r="11">
      <x:c r="A11" s="12"/>
      <x:c r="B11" s="12"/>
      <x:c r="C11" s="12"/>
      <x:c r="D11" s="12"/>
      <x:c r="E11" s="12" t="str">
        <x:v>Vélo d'appartement</x:v>
      </x:c>
    </x:row>
    <x:row r="12">
      <x:c r="A12" s="12"/>
      <x:c r="B12" s="12"/>
      <x:c r="C12" s="12"/>
      <x:c r="D12" s="12"/>
      <x:c r="E12" s="12" t="str">
        <x:v>Montre cardio</x:v>
      </x:c>
    </x:row>
    <x:row r="13">
      <x:c r="A13" s="12"/>
      <x:c r="B13" s="12"/>
      <x:c r="C13" s="12"/>
      <x:c r="D13" s="12"/>
      <x:c r="E13" s="12" t="str">
        <x:v>Kettlebells</x:v>
      </x:c>
    </x:row>
    <x:row r="14">
      <x:c r="A14" s="12"/>
      <x:c r="B14" s="12"/>
      <x:c r="C14" s="12"/>
      <x:c r="D14" s="12"/>
      <x:c r="E14" s="12" t="str">
        <x:v>Barre olympique</x:v>
      </x:c>
    </x:row>
    <x:row r="15">
      <x:c r="A15" s="12"/>
      <x:c r="B15" s="12"/>
      <x:c r="C15" s="12"/>
      <x:c r="D15" s="12"/>
      <x:c r="E15" s="12" t="str">
        <x:v>Tapis de fitness</x:v>
      </x:c>
    </x:row>
    <x:row r="16">
      <x:c r="A16" s="12"/>
      <x:c r="B16" s="12"/>
      <x:c r="C16" s="12"/>
      <x:c r="D16" s="12"/>
      <x:c r="E16" s="12" t="str">
        <x:v>Sangles de tirage</x:v>
      </x:c>
    </x:row>
    <x:row r="17">
      <x:c r="A17" s="12"/>
      <x:c r="B17" s="12"/>
      <x:c r="C17" s="12"/>
      <x:c r="D17" s="12"/>
      <x:c r="E17" s="12" t="str">
        <x:v>Roue à abdos</x:v>
      </x:c>
    </x:row>
    <x:row r="18">
      <x:c r="A18" s="12"/>
      <x:c r="B18" s="12"/>
      <x:c r="C18" s="12"/>
      <x:c r="D18" s="12"/>
      <x:c r="E18" s="12" t="str">
        <x:v>Corde à sauter</x:v>
      </x:c>
    </x:row>
    <x:row r="19">
      <x:c r="A19" s="12"/>
      <x:c r="B19" s="12"/>
      <x:c r="C19" s="12"/>
      <x:c r="D19" s="12"/>
      <x:c r="E19" s="12" t="str">
        <x:v>Rouleaux de massage</x:v>
      </x:c>
    </x:row>
    <x:row r="20">
      <x:c r="A20" s="12"/>
      <x:c r="B20" s="12"/>
      <x:c r="C20" s="12"/>
      <x:c r="D20" s="12"/>
      <x:c r="E20" s="12" t="str">
        <x:v>Barre de traction</x:v>
      </x:c>
    </x:row>
    <x:row r="21">
      <x:c r="A21" s="12"/>
      <x:c r="B21" s="12"/>
      <x:c r="C21" s="12"/>
      <x:c r="D21" s="12"/>
      <x:c r="E21" s="12" t="str">
        <x:v>Bandes élastiques</x:v>
      </x:c>
    </x:row>
    <x:row r="22">
      <x:c r="A22" s="12"/>
      <x:c r="B22" s="12"/>
      <x:c r="C22" s="12"/>
      <x:c r="D22" s="12"/>
      <x:c r="E22" s="12"/>
    </x:row>
    <x:row r="23">
      <x:c r="A23" s="12"/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0" hidden="0" customWidth="1"/>
    <x:col min="4" max="4" width="18" hidden="0" customWidth="1"/>
    <x:col min="5" max="5" width="42" hidden="0" customWidth="1"/>
    <x:col min="6" max="6" width="35" hidden="0" customWidth="1"/>
  </x:cols>
  <x:sheetData>
    <x:row r="1">
      <x:c r="A1" s="17" t="str">
        <x:v>MODE D'EMPLOI — BASE MUSCUGUIDE</x:v>
      </x:c>
      <x:c r="B1" s="17"/>
      <x:c r="C1" s="17"/>
      <x:c r="D1" s="17"/>
      <x:c r="E1" s="17"/>
      <x:c r="F1" s="17"/>
    </x:row>
    <x:row r="3">
      <x:c r="A3" s="6" t="str">
        <x:v>Étape</x:v>
      </x:c>
      <x:c r="B3" s="6" t="str">
        <x:v>Action</x:v>
      </x:c>
      <x:c r="C3" s="6" t="str">
        <x:v>Onglet</x:v>
      </x:c>
      <x:c r="D3" s="6" t="str">
        <x:v>Colonne(s)</x:v>
      </x:c>
      <x:c r="E3" s="6" t="str">
        <x:v>Règle</x:v>
      </x:c>
      <x:c r="F3" s="6" t="str">
        <x:v>Résultat attendu</x:v>
      </x:c>
    </x:row>
    <x:row r="4">
      <x:c r="A4" s="12" t="n">
        <x:v>1</x:v>
      </x:c>
      <x:c r="B4" s="12" t="str">
        <x:v>Choisir le produit exact et sa variante</x:v>
      </x:c>
      <x:c r="C4" s="12" t="str">
        <x:v>Produits</x:v>
      </x:c>
      <x:c r="D4" s="12" t="str">
        <x:v>E:G</x:v>
      </x:c>
      <x:c r="E4" s="12" t="str">
        <x:v>Éviter les noms génériques</x:v>
      </x:c>
      <x:c r="F4" s="12" t="str">
        <x:v>Produit identifiable sans ambiguïté</x:v>
      </x:c>
    </x:row>
    <x:row r="5">
      <x:c r="A5" s="12" t="n">
        <x:v>2</x:v>
      </x:c>
      <x:c r="B5" s="12" t="str">
        <x:v>Récupérer l'ASIN sur Amazon.fr</x:v>
      </x:c>
      <x:c r="C5" s="12" t="str">
        <x:v>Produits</x:v>
      </x:c>
      <x:c r="D5" s="12" t="str">
        <x:v>H</x:v>
      </x:c>
      <x:c r="E5" s="12" t="str">
        <x:v>10 caractères, vérifier la bonne variante</x:v>
      </x:c>
      <x:c r="F5" s="12" t="str">
        <x:v>ASIN FR valide</x:v>
      </x:c>
    </x:row>
    <x:row r="6">
      <x:c r="A6" s="12" t="n">
        <x:v>3</x:v>
      </x:c>
      <x:c r="B6" s="12" t="str">
        <x:v>Coller l'URL Amazon non affiliée</x:v>
      </x:c>
      <x:c r="C6" s="12" t="str">
        <x:v>Produits</x:v>
      </x:c>
      <x:c r="D6" s="12" t="str">
        <x:v>I</x:v>
      </x:c>
      <x:c r="E6" s="12" t="str">
        <x:v>Lien /dp/ASIN recommandé</x:v>
      </x:c>
      <x:c r="F6" s="12" t="str">
        <x:v>Source produit traçable</x:v>
      </x:c>
    </x:row>
    <x:row r="7">
      <x:c r="A7" s="12" t="n">
        <x:v>4</x:v>
      </x:c>
      <x:c r="B7" s="12" t="str">
        <x:v>Ajouter le tag partenaire Amazon</x:v>
      </x:c>
      <x:c r="C7" s="12" t="str">
        <x:v>Produits</x:v>
      </x:c>
      <x:c r="D7" s="12" t="str">
        <x:v>J</x:v>
      </x:c>
      <x:c r="E7" s="12" t="str">
        <x:v>Exemple : muscuguide-21</x:v>
      </x:c>
      <x:c r="F7" s="12" t="str">
        <x:v>Lien affilié calculé automatiquement</x:v>
      </x:c>
    </x:row>
    <x:row r="8">
      <x:c r="A8" s="12" t="n">
        <x:v>5</x:v>
      </x:c>
      <x:c r="B8" s="12" t="str">
        <x:v>Renseigner les notes par critère</x:v>
      </x:c>
      <x:c r="C8" s="12" t="str">
        <x:v>Produits</x:v>
      </x:c>
      <x:c r="D8" s="12" t="str">
        <x:v>O:T</x:v>
      </x:c>
      <x:c r="E8" s="12" t="str">
        <x:v>Respecter les plafonds</x:v>
      </x:c>
      <x:c r="F8" s="12" t="str">
        <x:v>Score /100 calculé automatiquement</x:v>
      </x:c>
    </x:row>
    <x:row r="9">
      <x:c r="A9" s="12" t="n">
        <x:v>6</x:v>
      </x:c>
      <x:c r="B9" s="12" t="str">
        <x:v>Documenter la recommandation</x:v>
      </x:c>
      <x:c r="C9" s="12" t="str">
        <x:v>Produits</x:v>
      </x:c>
      <x:c r="D9" s="12" t="str">
        <x:v>Z:AC</x:v>
      </x:c>
      <x:c r="E9" s="12" t="str">
        <x:v>Résumé honnête, points forts et limites</x:v>
      </x:c>
      <x:c r="F9" s="12" t="str">
        <x:v>Fiche éditoriale crédible</x:v>
      </x:c>
    </x:row>
    <x:row r="10">
      <x:c r="A10" s="12" t="n">
        <x:v>7</x:v>
      </x:c>
      <x:c r="B10" s="12" t="str">
        <x:v>Ajouter preuves et date</x:v>
      </x:c>
      <x:c r="C10" s="12" t="str">
        <x:v>Produits</x:v>
      </x:c>
      <x:c r="D10" s="12" t="str">
        <x:v>AD:AF</x:v>
      </x:c>
      <x:c r="E10" s="12" t="str">
        <x:v>Avis, note, date et source</x:v>
      </x:c>
      <x:c r="F10" s="12" t="str">
        <x:v>Données faciles à maintenir</x:v>
      </x:c>
    </x:row>
    <x:row r="11">
      <x:c r="A11" s="12" t="n">
        <x:v>8</x:v>
      </x:c>
      <x:c r="B11" s="12" t="str">
        <x:v>Passer le statut à Validé</x:v>
      </x:c>
      <x:c r="C11" s="12" t="str">
        <x:v>Produits</x:v>
      </x:c>
      <x:c r="D11" s="12" t="str">
        <x:v>AG</x:v>
      </x:c>
      <x:c r="E11" s="12" t="str">
        <x:v>Après vérification manuelle</x:v>
      </x:c>
      <x:c r="F11" s="12" t="str">
        <x:v>Produit prêt à importer</x:v>
      </x:c>
    </x:row>
    <x:row r="12">
      <x:c r="A12" s="12" t="n">
        <x:v>9</x:v>
      </x:c>
      <x:c r="B12" s="12" t="str">
        <x:v>Envoyer l'onglet Import Claude</x:v>
      </x:c>
      <x:c r="C12" s="12" t="str">
        <x:v>Import Claude</x:v>
      </x:c>
      <x:c r="D12" s="12" t="str">
        <x:v>A:Q</x:v>
      </x:c>
      <x:c r="E12" s="12" t="str">
        <x:v>Ne pas modifier les formules</x:v>
      </x:c>
      <x:c r="F12" s="12" t="str">
        <x:v>Import technique propre</x:v>
      </x:c>
    </x:row>
    <x:row r="13">
      <x:c r="A13" s="12"/>
      <x:c r="B13" s="12"/>
      <x:c r="C13" s="12"/>
      <x:c r="D13" s="12"/>
      <x:c r="E13" s="12"/>
      <x:c r="F13" s="12"/>
    </x:row>
    <x:row r="14">
      <x:c r="A14" s="50" t="str">
        <x:v>IMPORTANT</x:v>
      </x:c>
      <x:c r="B14" s="50" t="str">
        <x:v>Ne jamais inventer un ASIN, un prix, une note Amazon ou un nombre d'avis.</x:v>
      </x:c>
      <x:c r="C14" s="50" t="str"/>
      <x:c r="D14" s="50" t="str"/>
      <x:c r="E14" s="50" t="str"/>
      <x:c r="F14" s="50" t="str"/>
    </x:row>
  </x:sheetData>
  <x:mergeCells>
    <x:mergeCell ref="A1:F1"/>
  </x:mergeCells>
  <x:pageMargins left="0.7" right="0.7" top="0.75" bottom="0.75" header="0.3" footer="0.3"/>
</x:worksheet>
</file>